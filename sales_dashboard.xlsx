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1555b22d7352dfc1/Documents/Data Analytics Training Programme/"/>
    </mc:Choice>
  </mc:AlternateContent>
  <xr:revisionPtr revIDLastSave="17" documentId="8_{165FE361-F049-4222-978A-6F749C01EC0F}" xr6:coauthVersionLast="47" xr6:coauthVersionMax="47" xr10:uidLastSave="{EBE154E5-6D19-4EF6-97C6-390E73967929}"/>
  <bookViews>
    <workbookView xWindow="-120" yWindow="-120" windowWidth="20730" windowHeight="11160" xr2:uid="{DEE0A8F7-A5D5-4D12-8E30-A332D0AA77F7}"/>
  </bookViews>
  <sheets>
    <sheet name="BRD" sheetId="3" r:id="rId1"/>
    <sheet name="Dashboard" sheetId="14" r:id="rId2"/>
    <sheet name="Sales_Data" sheetId="1" r:id="rId3"/>
    <sheet name="Pivot_Table_1" sheetId="4" r:id="rId4"/>
    <sheet name="Pivot_Table_2" sheetId="17" r:id="rId5"/>
    <sheet name="Pivot_Table_3" sheetId="13" r:id="rId6"/>
    <sheet name="Lookup_Table" sheetId="2" r:id="rId7"/>
  </sheets>
  <definedNames>
    <definedName name="ExternalData_1" localSheetId="2" hidden="1">Sales_Data!$A$1:$H$102</definedName>
    <definedName name="Slicer_Customer_Region">#N/A</definedName>
    <definedName name="Slicer_Product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5" i="1" l="1"/>
  <c r="C106" i="1"/>
  <c r="C107" i="1"/>
  <c r="C108" i="1"/>
  <c r="H4" i="1"/>
  <c r="J4" i="1" s="1"/>
  <c r="H2" i="1"/>
  <c r="J2" i="1" s="1"/>
  <c r="H3" i="1"/>
  <c r="J3" i="1" s="1"/>
  <c r="H5" i="1"/>
  <c r="J5" i="1" s="1"/>
  <c r="H6" i="1"/>
  <c r="J6" i="1" s="1"/>
  <c r="H7" i="1"/>
  <c r="J7" i="1" s="1"/>
  <c r="H8" i="1"/>
  <c r="J8" i="1" s="1"/>
  <c r="H9" i="1"/>
  <c r="J9" i="1" s="1"/>
  <c r="H10" i="1"/>
  <c r="J10" i="1" s="1"/>
  <c r="H11" i="1"/>
  <c r="J11" i="1" s="1"/>
  <c r="H12" i="1"/>
  <c r="J12" i="1" s="1"/>
  <c r="H13" i="1"/>
  <c r="J13" i="1" s="1"/>
  <c r="H14" i="1"/>
  <c r="J14" i="1" s="1"/>
  <c r="P7" i="14" s="1"/>
  <c r="H15" i="1"/>
  <c r="J15" i="1" s="1"/>
  <c r="H16" i="1"/>
  <c r="J16" i="1" s="1"/>
  <c r="H17" i="1"/>
  <c r="J17" i="1" s="1"/>
  <c r="H18" i="1"/>
  <c r="J18" i="1" s="1"/>
  <c r="H19" i="1"/>
  <c r="J19" i="1" s="1"/>
  <c r="H20" i="1"/>
  <c r="J20" i="1" s="1"/>
  <c r="H21" i="1"/>
  <c r="J21" i="1" s="1"/>
  <c r="H22" i="1"/>
  <c r="J22" i="1" s="1"/>
  <c r="H23" i="1"/>
  <c r="J23" i="1" s="1"/>
  <c r="H24" i="1"/>
  <c r="J24" i="1" s="1"/>
  <c r="H25" i="1"/>
  <c r="J25" i="1" s="1"/>
  <c r="H26" i="1"/>
  <c r="J26" i="1" s="1"/>
  <c r="H27" i="1"/>
  <c r="J27" i="1" s="1"/>
  <c r="H28" i="1"/>
  <c r="J28" i="1" s="1"/>
  <c r="H29" i="1"/>
  <c r="J29" i="1" s="1"/>
  <c r="H30" i="1"/>
  <c r="J30" i="1" s="1"/>
  <c r="H31" i="1"/>
  <c r="J31" i="1" s="1"/>
  <c r="H32" i="1"/>
  <c r="J32" i="1" s="1"/>
  <c r="H33" i="1"/>
  <c r="J33" i="1" s="1"/>
  <c r="H34" i="1"/>
  <c r="J34" i="1" s="1"/>
  <c r="H35" i="1"/>
  <c r="J35" i="1" s="1"/>
  <c r="H36" i="1"/>
  <c r="J36" i="1" s="1"/>
  <c r="H37" i="1"/>
  <c r="J37" i="1" s="1"/>
  <c r="H38" i="1"/>
  <c r="J38" i="1" s="1"/>
  <c r="H39" i="1"/>
  <c r="J39" i="1" s="1"/>
  <c r="H40" i="1"/>
  <c r="J40" i="1" s="1"/>
  <c r="H41" i="1"/>
  <c r="J41" i="1" s="1"/>
  <c r="H42" i="1"/>
  <c r="J42" i="1" s="1"/>
  <c r="H43" i="1"/>
  <c r="J43" i="1" s="1"/>
  <c r="H44" i="1"/>
  <c r="J44" i="1" s="1"/>
  <c r="H45" i="1"/>
  <c r="J45" i="1" s="1"/>
  <c r="H46" i="1"/>
  <c r="J46" i="1" s="1"/>
  <c r="H47" i="1"/>
  <c r="J47" i="1" s="1"/>
  <c r="H48" i="1"/>
  <c r="J48" i="1" s="1"/>
  <c r="H49" i="1"/>
  <c r="J49" i="1" s="1"/>
  <c r="H50" i="1"/>
  <c r="J50" i="1" s="1"/>
  <c r="H51" i="1"/>
  <c r="J51" i="1" s="1"/>
  <c r="H52" i="1"/>
  <c r="J52" i="1" s="1"/>
  <c r="H53" i="1"/>
  <c r="J53" i="1" s="1"/>
  <c r="H54" i="1"/>
  <c r="J54" i="1" s="1"/>
  <c r="H55" i="1"/>
  <c r="J55" i="1" s="1"/>
  <c r="H56" i="1"/>
  <c r="J56" i="1" s="1"/>
  <c r="H57" i="1"/>
  <c r="J57" i="1" s="1"/>
  <c r="H58" i="1"/>
  <c r="J58" i="1" s="1"/>
  <c r="H59" i="1"/>
  <c r="J59" i="1" s="1"/>
  <c r="H60" i="1"/>
  <c r="J60" i="1" s="1"/>
  <c r="H61" i="1"/>
  <c r="J61" i="1" s="1"/>
  <c r="H62" i="1"/>
  <c r="J62" i="1" s="1"/>
  <c r="H63" i="1"/>
  <c r="J63" i="1" s="1"/>
  <c r="H64" i="1"/>
  <c r="J64" i="1" s="1"/>
  <c r="H65" i="1"/>
  <c r="J65" i="1" s="1"/>
  <c r="H66" i="1"/>
  <c r="J66" i="1" s="1"/>
  <c r="H67" i="1"/>
  <c r="J67" i="1" s="1"/>
  <c r="H68" i="1"/>
  <c r="J68" i="1" s="1"/>
  <c r="H69" i="1"/>
  <c r="J69" i="1" s="1"/>
  <c r="H70" i="1"/>
  <c r="J70" i="1" s="1"/>
  <c r="H71" i="1"/>
  <c r="J71" i="1" s="1"/>
  <c r="H72" i="1"/>
  <c r="J72" i="1" s="1"/>
  <c r="H73" i="1"/>
  <c r="J73" i="1" s="1"/>
  <c r="H74" i="1"/>
  <c r="J74" i="1" s="1"/>
  <c r="H75" i="1"/>
  <c r="J75" i="1" s="1"/>
  <c r="H76" i="1"/>
  <c r="J76" i="1" s="1"/>
  <c r="H77" i="1"/>
  <c r="J77" i="1" s="1"/>
  <c r="H78" i="1"/>
  <c r="J78" i="1" s="1"/>
  <c r="H79" i="1"/>
  <c r="J79" i="1" s="1"/>
  <c r="H80" i="1"/>
  <c r="J80" i="1" s="1"/>
  <c r="H81" i="1"/>
  <c r="J81" i="1" s="1"/>
  <c r="H82" i="1"/>
  <c r="J82" i="1" s="1"/>
  <c r="H83" i="1"/>
  <c r="J83" i="1" s="1"/>
  <c r="H84" i="1"/>
  <c r="J84" i="1" s="1"/>
  <c r="H85" i="1"/>
  <c r="J85" i="1" s="1"/>
  <c r="H86" i="1"/>
  <c r="J86" i="1" s="1"/>
  <c r="H87" i="1"/>
  <c r="J87" i="1" s="1"/>
  <c r="H88" i="1"/>
  <c r="J88" i="1" s="1"/>
  <c r="H89" i="1"/>
  <c r="J89" i="1" s="1"/>
  <c r="H90" i="1"/>
  <c r="J90" i="1" s="1"/>
  <c r="H91" i="1"/>
  <c r="J91" i="1" s="1"/>
  <c r="H92" i="1"/>
  <c r="J92" i="1" s="1"/>
  <c r="H93" i="1"/>
  <c r="J93" i="1" s="1"/>
  <c r="H94" i="1"/>
  <c r="J94" i="1" s="1"/>
  <c r="H95" i="1"/>
  <c r="J95" i="1" s="1"/>
  <c r="H96" i="1"/>
  <c r="J96" i="1" s="1"/>
  <c r="H97" i="1"/>
  <c r="J97" i="1" s="1"/>
  <c r="H98" i="1"/>
  <c r="J98" i="1" s="1"/>
  <c r="H99" i="1"/>
  <c r="J99" i="1" s="1"/>
  <c r="H100" i="1"/>
  <c r="J100" i="1" s="1"/>
  <c r="H101" i="1"/>
  <c r="J101" i="1" s="1"/>
  <c r="H102" i="1"/>
  <c r="J102" i="1" s="1"/>
  <c r="P9" i="14" l="1"/>
  <c r="H109" i="1"/>
  <c r="P3" i="14"/>
  <c r="P5" i="14"/>
  <c r="H106" i="1"/>
  <c r="H107" i="1"/>
  <c r="H108" i="1"/>
  <c r="D2" i="1"/>
  <c r="D3" i="1"/>
  <c r="D6" i="1"/>
  <c r="D5"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DC64CB-BDF5-4199-A520-8D141EFE176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<sst xmlns="http://schemas.openxmlformats.org/spreadsheetml/2006/main" count="438" uniqueCount="192">
  <si>
    <t>Order ID</t>
  </si>
  <si>
    <t>Order Date</t>
  </si>
  <si>
    <t>Customer Region</t>
  </si>
  <si>
    <t>Product Category</t>
  </si>
  <si>
    <t>Product Sub-Category</t>
  </si>
  <si>
    <t>Units Sold</t>
  </si>
  <si>
    <t>Unit Price</t>
  </si>
  <si>
    <t>ORD1000</t>
  </si>
  <si>
    <t>East</t>
  </si>
  <si>
    <t>Clothing</t>
  </si>
  <si>
    <t>Football</t>
  </si>
  <si>
    <t>ORD1001</t>
  </si>
  <si>
    <t>West</t>
  </si>
  <si>
    <t>Phone</t>
  </si>
  <si>
    <t>ORD1002</t>
  </si>
  <si>
    <t>North</t>
  </si>
  <si>
    <t>Sports</t>
  </si>
  <si>
    <t>Shoes</t>
  </si>
  <si>
    <t>ORD1003</t>
  </si>
  <si>
    <t>Blender</t>
  </si>
  <si>
    <t>ORD1004</t>
  </si>
  <si>
    <t>Tennis Racket</t>
  </si>
  <si>
    <t>ORD1005</t>
  </si>
  <si>
    <t>ORD1006</t>
  </si>
  <si>
    <t>Cookware</t>
  </si>
  <si>
    <t>ORD1007</t>
  </si>
  <si>
    <t>ORD1008</t>
  </si>
  <si>
    <t>ORD1009</t>
  </si>
  <si>
    <t>South</t>
  </si>
  <si>
    <t>ORD1010</t>
  </si>
  <si>
    <t>ORD1011</t>
  </si>
  <si>
    <t>ORD1012</t>
  </si>
  <si>
    <t>Shirt</t>
  </si>
  <si>
    <t>ORD1013</t>
  </si>
  <si>
    <t>ORD1014</t>
  </si>
  <si>
    <t>ORD1015</t>
  </si>
  <si>
    <t>Electronics</t>
  </si>
  <si>
    <t>ORD1016</t>
  </si>
  <si>
    <t>ORD1017</t>
  </si>
  <si>
    <t>ORD1018</t>
  </si>
  <si>
    <t>ORD1019</t>
  </si>
  <si>
    <t>ORD1020</t>
  </si>
  <si>
    <t>ORD1021</t>
  </si>
  <si>
    <t>ORD1022</t>
  </si>
  <si>
    <t>Laptop</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</si>
  <si>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</si>
  <si>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</si>
  <si>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</si>
  <si>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</si>
  <si>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</si>
  <si>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</si>
  <si>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</si>
  <si>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</si>
  <si>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</si>
  <si>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</si>
  <si>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</si>
  <si>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</si>
  <si>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</si>
  <si>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</si>
  <si>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</si>
  <si>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</si>
  <si>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</si>
  <si>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</si>
  <si>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</si>
  <si>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</si>
  <si>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</si>
  <si>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</si>
  <si>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</si>
  <si>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</si>
  <si>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</si>
  <si>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</si>
  <si>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</si>
  <si>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</si>
  <si>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</si>
  <si>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</si>
  <si>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</si>
  <si>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</si>
  <si>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</si>
  <si>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</si>
  <si>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</si>
  <si>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</si>
  <si>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</si>
  <si>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</si>
  <si>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</si>
  <si>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</si>
  <si>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</si>
  <si>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</si>
  <si>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</si>
  <si>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</si>
  <si>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</si>
  <si>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</si>
  <si>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</si>
  <si>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</si>
  <si>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</si>
  <si>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</si>
  <si>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</si>
  <si>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</si>
  <si>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</si>
  <si>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</si>
  <si>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</si>
  <si>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</si>
  <si>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</si>
  <si>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</si>
  <si>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</si>
  <si>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</si>
  <si>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</si>
  <si>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</si>
  <si>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</si>
  <si>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</si>
  <si>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</si>
  <si>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</si>
  <si>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</si>
  <si>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</si>
  <si>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</si>
  <si>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</si>
  <si>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</si>
  <si>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</si>
  <si>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</si>
  <si>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</si>
  <si>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</si>
  <si>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</si>
  <si>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</si>
  <si>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</si>
  <si>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Total_Sales</t>
  </si>
  <si>
    <t>Target</t>
  </si>
  <si>
    <t>Product_Subcategory</t>
  </si>
  <si>
    <t>Correct_Category</t>
  </si>
  <si>
    <t>Home_&amp;_Kitchen</t>
  </si>
  <si>
    <t>Status</t>
  </si>
  <si>
    <t>TOTAL_REVENUE</t>
  </si>
  <si>
    <t>Sum of Total_Sales</t>
  </si>
  <si>
    <t>Grand Total</t>
  </si>
  <si>
    <t>Jan</t>
  </si>
  <si>
    <t>Feb</t>
  </si>
  <si>
    <t>Mar</t>
  </si>
  <si>
    <t>Apr</t>
  </si>
  <si>
    <t>Sum of Total_Revenue_by_Region</t>
  </si>
  <si>
    <t>Months (Order Date)</t>
  </si>
  <si>
    <t>KPI's</t>
  </si>
  <si>
    <t>(All)</t>
  </si>
  <si>
    <t>REGIONAL SALES PERFORMANCE DASHBOARD</t>
  </si>
  <si>
    <t>Total_Sales_Per_Month</t>
  </si>
  <si>
    <t>AVERAGE_SALES</t>
  </si>
  <si>
    <t>TARGET ACHIEVED%</t>
  </si>
  <si>
    <t>Questions The Dashboard answers:</t>
  </si>
  <si>
    <t xml:space="preserve">1. Which highest and lowest performing region. </t>
  </si>
  <si>
    <t>4. Are the targets being achieved?</t>
  </si>
  <si>
    <r>
      <rPr>
        <b/>
        <sz val="12"/>
        <color theme="1"/>
        <rFont val="Aptos Narrow"/>
        <family val="2"/>
        <scheme val="minor"/>
      </rPr>
      <t>Use Case</t>
    </r>
    <r>
      <rPr>
        <sz val="11"/>
        <color theme="1"/>
        <rFont val="Aptos Narrow"/>
        <family val="2"/>
        <scheme val="minor"/>
      </rPr>
      <t>: The dashboard will be used to monitor sales performance, compare regional results, identify successful products, track sales trends, and assess whether sales targets are being achieved.</t>
    </r>
  </si>
  <si>
    <t>This dashboard shows Regional sale performance, and it will help a regional sales manager to track result against targets, see the sales trend over a month and identify the top performing region and products in each customer region.</t>
  </si>
  <si>
    <t>NO. OF_SALES_ON_TARGET</t>
  </si>
  <si>
    <t>NO. of_SALES_ON_TARGET</t>
  </si>
  <si>
    <t>Required KPI's</t>
  </si>
  <si>
    <t>KPI NAME</t>
  </si>
  <si>
    <t>CALCULATIONS</t>
  </si>
  <si>
    <t>SOURCE DATA</t>
  </si>
  <si>
    <t>SALES ABOVE_TARGET</t>
  </si>
  <si>
    <t>AVERAGE_SALE</t>
  </si>
  <si>
    <t>TARGET_ACHIEVMENT %</t>
  </si>
  <si>
    <t>Sum of sales amount</t>
  </si>
  <si>
    <t>total revenue/No.of total sales</t>
  </si>
  <si>
    <t>total sales/total target * 100</t>
  </si>
  <si>
    <t>Count the no.of  sales On Target</t>
  </si>
  <si>
    <t>Sales_Data Table</t>
  </si>
  <si>
    <t>Required Visualization</t>
  </si>
  <si>
    <t>Chart Type</t>
  </si>
  <si>
    <t>x-Axis</t>
  </si>
  <si>
    <t>Y-axis</t>
  </si>
  <si>
    <t>Filters</t>
  </si>
  <si>
    <t>Line Chart</t>
  </si>
  <si>
    <t>Clustered bar Chart</t>
  </si>
  <si>
    <t>Region</t>
  </si>
  <si>
    <t>Sum of sales</t>
  </si>
  <si>
    <t>Months</t>
  </si>
  <si>
    <t>Customer region</t>
  </si>
  <si>
    <t>Order dates.</t>
  </si>
  <si>
    <t>Order dates(Months)</t>
  </si>
  <si>
    <t>Filters &amp; Interactivity</t>
  </si>
  <si>
    <t>2. Product Category</t>
  </si>
  <si>
    <r>
      <t xml:space="preserve"> Slicers - </t>
    </r>
    <r>
      <rPr>
        <sz val="11"/>
        <color theme="1"/>
        <rFont val="Aptos Narrow"/>
        <family val="2"/>
        <scheme val="minor"/>
      </rPr>
      <t>The Slicers filter:</t>
    </r>
  </si>
  <si>
    <t>1. Region</t>
  </si>
  <si>
    <t>Interactive requirements</t>
  </si>
  <si>
    <t>1).All charts respond to slicer selections.</t>
  </si>
  <si>
    <t>2).KPI cards update automatically based on selected filters.</t>
  </si>
  <si>
    <t>3).Users can analyse specific regions and product categories.</t>
  </si>
  <si>
    <t>4).Slicers are connected to all Pivot Tables and Pivot Charts.</t>
  </si>
  <si>
    <t>DATA SOURCE</t>
  </si>
  <si>
    <r>
      <t xml:space="preserve">Sheet Name: </t>
    </r>
    <r>
      <rPr>
        <b/>
        <sz val="11"/>
        <color theme="1"/>
        <rFont val="Aptos Narrow"/>
        <family val="2"/>
        <scheme val="minor"/>
      </rPr>
      <t>Data</t>
    </r>
  </si>
  <si>
    <r>
      <t xml:space="preserve">File Name:        </t>
    </r>
    <r>
      <rPr>
        <b/>
        <sz val="11"/>
        <color theme="1"/>
        <rFont val="Aptos Narrow"/>
        <family val="2"/>
        <scheme val="minor"/>
      </rPr>
      <t>sales_dashboard_week2.xlsx</t>
    </r>
  </si>
  <si>
    <r>
      <t xml:space="preserve">Intended Audience: </t>
    </r>
    <r>
      <rPr>
        <b/>
        <sz val="12"/>
        <color theme="1"/>
        <rFont val="Aptos Narrow"/>
        <family val="2"/>
        <scheme val="minor"/>
      </rPr>
      <t>Regional Sales Manager</t>
    </r>
    <r>
      <rPr>
        <sz val="11"/>
        <color theme="1"/>
        <rFont val="Aptos Narrow"/>
        <family val="2"/>
        <scheme val="minor"/>
      </rPr>
      <t>.</t>
    </r>
  </si>
  <si>
    <t>2.Which is the best performing product in each region.</t>
  </si>
  <si>
    <t>3. What is the sales trend over time?</t>
  </si>
  <si>
    <t>Stacked 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</si>
</sst>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KES]\ #,##0.00"/>
    <numFmt numFmtId="166" formatCode="[$KES]\ #,##0"/>
  </numFmts>
  <fonts count="7" x14ac:knownFonts="1">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b/>
      <sz val="16"/>
      <color theme="1"/>
      <name val="Aptos Narrow"/>
      <family val="2"/>
      <scheme val="minor"/>
    </font>
    <font>
      <b/>
      <u/>
      <sz val="14"/>
      <color theme="1"/>
      <name val="Aptos Narrow"/>
      <family val="2"/>
      <scheme val="minor"/>
    </font>
    <font>
      <b/>
      <u/>
      <sz val="11"/>
      <color theme="1"/>
      <name val="Aptos Narrow"/>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7" tint="0.39997558519241921"/>
        <bgColor indexed="64"/>
      </patternFill>
    </fill>
    <fill>
      <patternFill patternType="solid">
        <fgColor theme="0" tint="-0.249977111117893"/>
        <bgColor indexed="64"/>
      </patternFill>
    </fill>
  </fills>
  <borders count="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top/>
      <bottom/>
      <diagonal/>
    </border>
  </borders>
  <cellStyleXfs count="1">
    <xf numFmtId="0" fontId="0" fillId="0" borderId="0"/>
  </cellStyleXfs>
  <cellXfs count="36">
    <xf numFmtId="0" fontId="0" fillId="0" borderId="0" xfId="0"/>
    <xf numFmtId="14" fontId="0" fillId="0" borderId="0" xfId="0" applyNumberFormat="1"/>
    <xf numFmtId="164" fontId="0" fillId="0" borderId="0" xfId="0" applyNumberFormat="1"/>
    <xf numFmtId="0" fontId="1" fillId="2" borderId="0" xfId="0" applyFont="1" applyFill="1"/>
    <xf numFmtId="165" fontId="0" fillId="0" borderId="0" xfId="0" applyNumberFormat="1"/>
    <xf numFmtId="9" fontId="0" fillId="0" borderId="0" xfId="0" applyNumberFormat="1"/>
    <xf numFmtId="3" fontId="0" fillId="0" borderId="0" xfId="0" applyNumberFormat="1"/>
    <xf numFmtId="0" fontId="0" fillId="0" borderId="0" xfId="0" pivotButton="1"/>
    <xf numFmtId="0" fontId="1" fillId="0" borderId="0" xfId="0" applyFont="1"/>
    <xf numFmtId="166" fontId="0" fillId="0" borderId="0" xfId="0" applyNumberFormat="1"/>
    <xf numFmtId="166" fontId="1" fillId="0" borderId="0" xfId="0" applyNumberFormat="1" applyFont="1"/>
    <xf numFmtId="166" fontId="0" fillId="0" borderId="0" xfId="0" pivotButton="1" applyNumberFormat="1"/>
    <xf numFmtId="0" fontId="0" fillId="0" borderId="0" xfId="0" applyAlignment="1">
      <alignment horizontal="left" vertical="center"/>
    </xf>
    <xf numFmtId="0" fontId="4"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center"/>
    </xf>
    <xf numFmtId="0" fontId="5"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xf>
    <xf numFmtId="0" fontId="6" fillId="0" borderId="0" xfId="0" applyFont="1" applyAlignment="1">
      <alignment horizontal="center"/>
    </xf>
    <xf numFmtId="0" fontId="1" fillId="0" borderId="0" xfId="0" applyFont="1" applyAlignment="1">
      <alignment horizontal="center"/>
    </xf>
    <xf numFmtId="0" fontId="0" fillId="0" borderId="4" xfId="0" applyBorder="1" applyAlignment="1">
      <alignment horizontal="center"/>
    </xf>
    <xf numFmtId="166" fontId="0" fillId="4" borderId="1" xfId="0" applyNumberFormat="1" applyFill="1" applyBorder="1" applyAlignment="1">
      <alignment horizontal="center"/>
    </xf>
    <xf numFmtId="0" fontId="0" fillId="4" borderId="1" xfId="0" applyFill="1" applyBorder="1" applyAlignment="1">
      <alignment horizontal="center"/>
    </xf>
    <xf numFmtId="9" fontId="0" fillId="0" borderId="1" xfId="0" applyNumberFormat="1"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1" fillId="4" borderId="1" xfId="0" applyFont="1" applyFill="1" applyBorder="1" applyAlignment="1">
      <alignment horizontal="center"/>
    </xf>
    <xf numFmtId="166" fontId="0" fillId="4" borderId="3" xfId="0" applyNumberFormat="1" applyFill="1" applyBorder="1" applyAlignment="1">
      <alignment horizontal="center"/>
    </xf>
    <xf numFmtId="166" fontId="0" fillId="4" borderId="2" xfId="0" applyNumberFormat="1" applyFill="1" applyBorder="1" applyAlignment="1">
      <alignment horizontal="center"/>
    </xf>
    <xf numFmtId="0" fontId="1" fillId="0" borderId="1" xfId="0" applyFont="1" applyBorder="1" applyAlignment="1">
      <alignment horizontal="center"/>
    </xf>
    <xf numFmtId="0" fontId="0" fillId="0" borderId="1" xfId="0" applyBorder="1" applyAlignment="1">
      <alignment horizontal="center"/>
    </xf>
    <xf numFmtId="166" fontId="0" fillId="0" borderId="0" xfId="0" applyNumberFormat="1" applyAlignment="1">
      <alignment horizontal="center"/>
    </xf>
  </cellXfs>
  <cellStyles count="1">
    <cellStyle name="Normal" xfId="0" builtinId="0"/>
  </cellStyles>
  <dxfs count="56">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fill>
        <patternFill>
          <fgColor rgb="FFFF7171"/>
        </patternFill>
      </fill>
    </dxf>
    <dxf>
      <fill>
        <patternFill>
          <bgColor rgb="FFFF8585"/>
        </patternFill>
      </fill>
    </dxf>
    <dxf>
      <fill>
        <patternFill>
          <bgColor rgb="FFFF7D7D"/>
        </patternFill>
      </fill>
    </dxf>
    <dxf>
      <font>
        <b/>
        <i val="0"/>
        <strike val="0"/>
        <condense val="0"/>
        <extend val="0"/>
        <outline val="0"/>
        <shadow val="0"/>
        <u val="none"/>
        <vertAlign val="baseline"/>
        <sz val="11"/>
        <color theme="1"/>
        <name val="Aptos Narrow"/>
        <family val="2"/>
        <scheme val="minor"/>
      </font>
      <fill>
        <patternFill patternType="solid">
          <fgColor indexed="64"/>
          <bgColor theme="0" tint="-0.499984740745262"/>
        </patternFill>
      </fill>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4" formatCode="[$$-409]#,##0.00"/>
    </dxf>
    <dxf>
      <numFmt numFmtId="166" formatCode="[$KES]\ #,##0"/>
    </dxf>
    <dxf>
      <numFmt numFmtId="166" formatCode="[$KES]\ #,##0"/>
    </dxf>
    <dxf>
      <numFmt numFmtId="166" formatCode="[$KES]\ #,##0"/>
    </dxf>
    <dxf>
      <numFmt numFmtId="0" formatCode="General"/>
    </dxf>
    <dxf>
      <numFmt numFmtId="0" formatCode="General"/>
    </dxf>
    <dxf>
      <numFmt numFmtId="0" formatCode="General"/>
    </dxf>
    <dxf>
      <numFmt numFmtId="19" formatCode="dd/mm/yyyy"/>
    </dxf>
    <dxf>
      <numFmt numFmtId="0" formatCode="General"/>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
      <numFmt numFmtId="166" formatCode="[$KES]\ #,##0"/>
    </dxf>
  </dxfs>
  <tableStyles count="0" defaultTableStyle="TableStyleMedium2" defaultPivotStyle="PivotStyleLight16"/>
  <colors>
    <mruColors>
      <color rgb="FFFF7D7D"/>
      <color rgb="FFFF8585"/>
      <color rgb="FFFF0000"/>
      <color rgb="FFFF7171"/>
      <color rgb="FFFF4747"/>
      <color rgb="FFFF6565"/>
      <color rgb="FFFF5D5D"/>
      <color rgb="FFFF6969"/>
      <color rgb="FF8ED973"/>
      <color rgb="FF9DDE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[sales_dashboard_week2 PROJECT 1.xlsx]Pivot_Table_3!PivotTable6</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Monthly Sales Trend per Product</a:t>
            </a:r>
          </a:p>
        </c:rich>
      </c:tx>
      <c:layout>
        <c:manualLayout>
          <c:xMode val="edge"/>
          <c:yMode val="edge"/>
          <c:x val="0.25756203491670848"/>
          <c:y val="6.585179443243169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9842479243254"/>
          <c:y val="0.29672130269430608"/>
          <c:w val="0.59659852225713694"/>
          <c:h val="0.4155043119610049"/>
        </c:manualLayout>
      </c:layout>
      <c:lineChart>
        <c:grouping val="stacked"/>
        <c:varyColors val="0"/>
        <c:ser>
          <c:idx val="0"/>
          <c:order val="0"/>
          <c:tx>
            <c:strRef>
              <c:f>Pivot_Table_3!$B$3:$B$4</c:f>
              <c:strCache>
                <c:ptCount val="1"/>
                <c:pt idx="0">
                  <c:v>Clothing</c:v>
                </c:pt>
              </c:strCache>
            </c:strRef>
          </c:tx>
          <c:spPr>
            <a:ln w="38100" cap="rnd">
              <a:solidFill>
                <a:schemeClr val="accent1"/>
              </a:solidFill>
              <a:round/>
            </a:ln>
            <a:effectLst/>
          </c:spPr>
          <c:marker>
            <c:symbol val="circle"/>
            <c:size val="8"/>
            <c:spPr>
              <a:solidFill>
                <a:schemeClr val="accent1"/>
              </a:solidFill>
              <a:ln>
                <a:noFill/>
              </a:ln>
              <a:effectLst/>
            </c:spPr>
          </c:marker>
          <c:cat>
            <c:strRef>
              <c:f>Pivot_Table_3!$A$5:$A$9</c:f>
              <c:strCache>
                <c:ptCount val="4"/>
                <c:pt idx="0">
                  <c:v>Jan</c:v>
                </c:pt>
                <c:pt idx="1">
                  <c:v>Feb</c:v>
                </c:pt>
                <c:pt idx="2">
                  <c:v>Mar</c:v>
                </c:pt>
                <c:pt idx="3">
                  <c:v>Apr</c:v>
                </c:pt>
              </c:strCache>
            </c:strRef>
          </c:cat>
          <c:val>
            <c:numRef>
              <c:f>Pivot_Table_3!$B$5:$B$9</c:f>
              <c:numCache>
                <c:formatCode>[$KES]\ #,##0</c:formatCode>
                <c:ptCount val="4"/>
                <c:pt idx="0">
                  <c:v>34893.94</c:v>
                </c:pt>
                <c:pt idx="1">
                  <c:v>32240.399999999998</c:v>
                </c:pt>
                <c:pt idx="2">
                  <c:v>21200.05</c:v>
                </c:pt>
                <c:pt idx="3">
                  <c:v>1807.54</c:v>
                </c:pt>
              </c:numCache>
            </c:numRef>
          </c:val>
          <c:smooth val="0"/>
          <c:extLst>
            <c:ext xmlns:c16="http://schemas.microsoft.com/office/drawing/2014/chart" uri="{C3380CC4-5D6E-409C-BE32-E72D297353CC}">
              <c16:uniqueId val="{00000000-6263-4DAB-BF73-DBA4FF477417}"/>
            </c:ext>
          </c:extLst>
        </c:ser>
        <c:ser>
          <c:idx val="1"/>
          <c:order val="1"/>
          <c:tx>
            <c:strRef>
              <c:f>Pivot_Table_3!$C$3:$C$4</c:f>
              <c:strCache>
                <c:ptCount val="1"/>
                <c:pt idx="0">
                  <c:v>Electronics</c:v>
                </c:pt>
              </c:strCache>
            </c:strRef>
          </c:tx>
          <c:spPr>
            <a:ln w="38100" cap="rnd">
              <a:solidFill>
                <a:schemeClr val="accent2"/>
              </a:solidFill>
              <a:round/>
            </a:ln>
            <a:effectLst/>
          </c:spPr>
          <c:marker>
            <c:symbol val="circle"/>
            <c:size val="8"/>
            <c:spPr>
              <a:solidFill>
                <a:schemeClr val="accent2"/>
              </a:solidFill>
              <a:ln>
                <a:noFill/>
              </a:ln>
              <a:effectLst/>
            </c:spPr>
          </c:marker>
          <c:cat>
            <c:strRef>
              <c:f>Pivot_Table_3!$A$5:$A$9</c:f>
              <c:strCache>
                <c:ptCount val="4"/>
                <c:pt idx="0">
                  <c:v>Jan</c:v>
                </c:pt>
                <c:pt idx="1">
                  <c:v>Feb</c:v>
                </c:pt>
                <c:pt idx="2">
                  <c:v>Mar</c:v>
                </c:pt>
                <c:pt idx="3">
                  <c:v>Apr</c:v>
                </c:pt>
              </c:strCache>
            </c:strRef>
          </c:cat>
          <c:val>
            <c:numRef>
              <c:f>Pivot_Table_3!$C$5:$C$9</c:f>
              <c:numCache>
                <c:formatCode>[$KES]\ #,##0</c:formatCode>
                <c:ptCount val="4"/>
                <c:pt idx="0">
                  <c:v>10035.799999999999</c:v>
                </c:pt>
                <c:pt idx="1">
                  <c:v>7996.0099999999993</c:v>
                </c:pt>
                <c:pt idx="2">
                  <c:v>37506.97</c:v>
                </c:pt>
                <c:pt idx="3">
                  <c:v>7654.46</c:v>
                </c:pt>
              </c:numCache>
            </c:numRef>
          </c:val>
          <c:smooth val="0"/>
          <c:extLst>
            <c:ext xmlns:c16="http://schemas.microsoft.com/office/drawing/2014/chart" uri="{C3380CC4-5D6E-409C-BE32-E72D297353CC}">
              <c16:uniqueId val="{0000000B-6263-4DAB-BF73-DBA4FF477417}"/>
            </c:ext>
          </c:extLst>
        </c:ser>
        <c:ser>
          <c:idx val="2"/>
          <c:order val="2"/>
          <c:tx>
            <c:strRef>
              <c:f>Pivot_Table_3!$D$3:$D$4</c:f>
              <c:strCache>
                <c:ptCount val="1"/>
                <c:pt idx="0">
                  <c:v>Home_&amp;_Kitchen</c:v>
                </c:pt>
              </c:strCache>
            </c:strRef>
          </c:tx>
          <c:spPr>
            <a:ln w="38100" cap="rnd">
              <a:solidFill>
                <a:schemeClr val="accent3"/>
              </a:solidFill>
              <a:round/>
            </a:ln>
            <a:effectLst/>
          </c:spPr>
          <c:marker>
            <c:symbol val="circle"/>
            <c:size val="8"/>
            <c:spPr>
              <a:solidFill>
                <a:schemeClr val="accent3"/>
              </a:solidFill>
              <a:ln>
                <a:noFill/>
              </a:ln>
              <a:effectLst/>
            </c:spPr>
          </c:marker>
          <c:cat>
            <c:strRef>
              <c:f>Pivot_Table_3!$A$5:$A$9</c:f>
              <c:strCache>
                <c:ptCount val="4"/>
                <c:pt idx="0">
                  <c:v>Jan</c:v>
                </c:pt>
                <c:pt idx="1">
                  <c:v>Feb</c:v>
                </c:pt>
                <c:pt idx="2">
                  <c:v>Mar</c:v>
                </c:pt>
                <c:pt idx="3">
                  <c:v>Apr</c:v>
                </c:pt>
              </c:strCache>
            </c:strRef>
          </c:cat>
          <c:val>
            <c:numRef>
              <c:f>Pivot_Table_3!$D$5:$D$9</c:f>
              <c:numCache>
                <c:formatCode>[$KES]\ #,##0</c:formatCode>
                <c:ptCount val="4"/>
                <c:pt idx="0">
                  <c:v>23422.600000000002</c:v>
                </c:pt>
                <c:pt idx="1">
                  <c:v>9250.5400000000009</c:v>
                </c:pt>
                <c:pt idx="2">
                  <c:v>14743.879999999997</c:v>
                </c:pt>
                <c:pt idx="3">
                  <c:v>8881.4699999999993</c:v>
                </c:pt>
              </c:numCache>
            </c:numRef>
          </c:val>
          <c:smooth val="0"/>
          <c:extLst>
            <c:ext xmlns:c16="http://schemas.microsoft.com/office/drawing/2014/chart" uri="{C3380CC4-5D6E-409C-BE32-E72D297353CC}">
              <c16:uniqueId val="{0000000C-6263-4DAB-BF73-DBA4FF477417}"/>
            </c:ext>
          </c:extLst>
        </c:ser>
        <c:ser>
          <c:idx val="3"/>
          <c:order val="3"/>
          <c:tx>
            <c:strRef>
              <c:f>Pivot_Table_3!$E$3:$E$4</c:f>
              <c:strCache>
                <c:ptCount val="1"/>
                <c:pt idx="0">
                  <c:v>Sports</c:v>
                </c:pt>
              </c:strCache>
            </c:strRef>
          </c:tx>
          <c:spPr>
            <a:ln w="38100" cap="rnd">
              <a:solidFill>
                <a:schemeClr val="accent4"/>
              </a:solidFill>
              <a:round/>
            </a:ln>
            <a:effectLst/>
          </c:spPr>
          <c:marker>
            <c:symbol val="circle"/>
            <c:size val="8"/>
            <c:spPr>
              <a:solidFill>
                <a:schemeClr val="accent4"/>
              </a:solidFill>
              <a:ln>
                <a:noFill/>
              </a:ln>
              <a:effectLst/>
            </c:spPr>
          </c:marker>
          <c:cat>
            <c:strRef>
              <c:f>Pivot_Table_3!$A$5:$A$9</c:f>
              <c:strCache>
                <c:ptCount val="4"/>
                <c:pt idx="0">
                  <c:v>Jan</c:v>
                </c:pt>
                <c:pt idx="1">
                  <c:v>Feb</c:v>
                </c:pt>
                <c:pt idx="2">
                  <c:v>Mar</c:v>
                </c:pt>
                <c:pt idx="3">
                  <c:v>Apr</c:v>
                </c:pt>
              </c:strCache>
            </c:strRef>
          </c:cat>
          <c:val>
            <c:numRef>
              <c:f>Pivot_Table_3!$E$5:$E$9</c:f>
              <c:numCache>
                <c:formatCode>[$KES]\ #,##0</c:formatCode>
                <c:ptCount val="4"/>
                <c:pt idx="0">
                  <c:v>12282.009999999998</c:v>
                </c:pt>
                <c:pt idx="1">
                  <c:v>13431.119999999999</c:v>
                </c:pt>
                <c:pt idx="2">
                  <c:v>11366.16</c:v>
                </c:pt>
                <c:pt idx="3">
                  <c:v>2404.1400000000003</c:v>
                </c:pt>
              </c:numCache>
            </c:numRef>
          </c:val>
          <c:smooth val="0"/>
          <c:extLst>
            <c:ext xmlns:c16="http://schemas.microsoft.com/office/drawing/2014/chart" uri="{C3380CC4-5D6E-409C-BE32-E72D297353CC}">
              <c16:uniqueId val="{0000000D-6263-4DAB-BF73-DBA4FF477417}"/>
            </c:ext>
          </c:extLst>
        </c:ser>
        <c:dLbls>
          <c:showLegendKey val="0"/>
          <c:showVal val="0"/>
          <c:showCatName val="0"/>
          <c:showSerName val="0"/>
          <c:showPercent val="0"/>
          <c:showBubbleSize val="0"/>
        </c:dLbls>
        <c:marker val="1"/>
        <c:smooth val="0"/>
        <c:axId val="1721124495"/>
        <c:axId val="1721136975"/>
      </c:lineChart>
      <c:catAx>
        <c:axId val="172112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21136975"/>
        <c:crosses val="autoZero"/>
        <c:auto val="1"/>
        <c:lblAlgn val="ctr"/>
        <c:lblOffset val="100"/>
        <c:noMultiLvlLbl val="0"/>
      </c:catAx>
      <c:valAx>
        <c:axId val="1721136975"/>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KES]\ #,##0" sourceLinked="1"/>
        <c:majorTickMark val="none"/>
        <c:minorTickMark val="none"/>
        <c:tickLblPos val="nextTo"/>
        <c:crossAx val="1721124495"/>
        <c:crosses val="autoZero"/>
        <c:crossBetween val="between"/>
      </c:valAx>
      <c:spPr>
        <a:noFill/>
        <a:ln>
          <a:noFill/>
        </a:ln>
        <a:effectLst/>
      </c:spPr>
    </c:plotArea>
    <c:legend>
      <c:legendPos val="r"/>
      <c:layout>
        <c:manualLayout>
          <c:xMode val="edge"/>
          <c:yMode val="edge"/>
          <c:x val="0.74016799517933907"/>
          <c:y val="0.24161765493599013"/>
          <c:w val="0.19436690156777581"/>
          <c:h val="0.3986208499998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[sales_dashboard_week2 PROJECT 1.xlsx]Pivot_Table_2!PivotTable8</c:name>
    <c:fmtId val="3"/>
  </c:pivotSource>
  <c:chart>
    <c:title>
      <c:tx>
        <c:rich>
          <a:bodyPr rot="0" spcFirstLastPara="1" vertOverflow="ellipsis" vert="horz" wrap="square" anchor="ctr" anchorCtr="1"/>
          <a:lstStyle/>
          <a:p>
            <a:pPr>
              <a:defRPr sz="1400" b="1" i="0" u="none" strike="noStrike" kern="1200" spc="0" baseline="0">
                <a:solidFill>
                  <a:schemeClr val="accent5">
                    <a:lumMod val="60000"/>
                    <a:lumOff val="40000"/>
                  </a:schemeClr>
                </a:solidFill>
                <a:latin typeface="+mn-lt"/>
                <a:ea typeface="+mn-ea"/>
                <a:cs typeface="+mn-cs"/>
              </a:defRPr>
            </a:pPr>
            <a:r>
              <a:rPr lang="en-US" b="1">
                <a:solidFill>
                  <a:schemeClr val="accent5">
                    <a:lumMod val="60000"/>
                    <a:lumOff val="40000"/>
                  </a:schemeClr>
                </a:solidFill>
              </a:rPr>
              <a:t>Product</a:t>
            </a:r>
            <a:r>
              <a:rPr lang="en-US" b="1" baseline="0">
                <a:solidFill>
                  <a:schemeClr val="accent5">
                    <a:lumMod val="60000"/>
                    <a:lumOff val="40000"/>
                  </a:schemeClr>
                </a:solidFill>
              </a:rPr>
              <a:t> Performance by Region</a:t>
            </a:r>
          </a:p>
        </c:rich>
      </c:tx>
      <c:layout>
        <c:manualLayout>
          <c:xMode val="edge"/>
          <c:yMode val="edge"/>
          <c:x val="0.21597696839619185"/>
          <c:y val="2.2924670648053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17430685991157"/>
          <c:y val="0.17751250658151624"/>
          <c:w val="0.48827548247146219"/>
          <c:h val="0.609692617681592"/>
        </c:manualLayout>
      </c:layout>
      <c:barChart>
        <c:barDir val="bar"/>
        <c:grouping val="clustered"/>
        <c:varyColors val="0"/>
        <c:ser>
          <c:idx val="0"/>
          <c:order val="0"/>
          <c:tx>
            <c:strRef>
              <c:f>Pivot_Table_2!$B$4:$B$5</c:f>
              <c:strCache>
                <c:ptCount val="1"/>
                <c:pt idx="0">
                  <c:v>Clothing</c:v>
                </c:pt>
              </c:strCache>
            </c:strRef>
          </c:tx>
          <c:spPr>
            <a:solidFill>
              <a:schemeClr val="accent1"/>
            </a:solidFill>
            <a:ln>
              <a:noFill/>
            </a:ln>
            <a:effectLst/>
          </c:spPr>
          <c:invertIfNegative val="0"/>
          <c:cat>
            <c:strRef>
              <c:f>Pivot_Table_2!$A$6:$A$10</c:f>
              <c:strCache>
                <c:ptCount val="4"/>
                <c:pt idx="0">
                  <c:v>East</c:v>
                </c:pt>
                <c:pt idx="1">
                  <c:v>North</c:v>
                </c:pt>
                <c:pt idx="2">
                  <c:v>South</c:v>
                </c:pt>
                <c:pt idx="3">
                  <c:v>West</c:v>
                </c:pt>
              </c:strCache>
            </c:strRef>
          </c:cat>
          <c:val>
            <c:numRef>
              <c:f>Pivot_Table_2!$B$6:$B$10</c:f>
              <c:numCache>
                <c:formatCode>[$KES]\ #,##0</c:formatCode>
                <c:ptCount val="4"/>
                <c:pt idx="0">
                  <c:v>23064.089999999997</c:v>
                </c:pt>
                <c:pt idx="1">
                  <c:v>24959.300000000003</c:v>
                </c:pt>
                <c:pt idx="2">
                  <c:v>7244.4</c:v>
                </c:pt>
                <c:pt idx="3">
                  <c:v>34874.14</c:v>
                </c:pt>
              </c:numCache>
            </c:numRef>
          </c:val>
          <c:extLst>
            <c:ext xmlns:c16="http://schemas.microsoft.com/office/drawing/2014/chart" uri="{C3380CC4-5D6E-409C-BE32-E72D297353CC}">
              <c16:uniqueId val="{00000004-5E4E-4918-B64B-86E23A974198}"/>
            </c:ext>
          </c:extLst>
        </c:ser>
        <c:ser>
          <c:idx val="1"/>
          <c:order val="1"/>
          <c:tx>
            <c:strRef>
              <c:f>Pivot_Table_2!$C$4:$C$5</c:f>
              <c:strCache>
                <c:ptCount val="1"/>
                <c:pt idx="0">
                  <c:v>Electronics</c:v>
                </c:pt>
              </c:strCache>
            </c:strRef>
          </c:tx>
          <c:spPr>
            <a:solidFill>
              <a:schemeClr val="accent2"/>
            </a:solidFill>
            <a:ln>
              <a:noFill/>
            </a:ln>
            <a:effectLst/>
          </c:spPr>
          <c:invertIfNegative val="0"/>
          <c:cat>
            <c:strRef>
              <c:f>Pivot_Table_2!$A$6:$A$10</c:f>
              <c:strCache>
                <c:ptCount val="4"/>
                <c:pt idx="0">
                  <c:v>East</c:v>
                </c:pt>
                <c:pt idx="1">
                  <c:v>North</c:v>
                </c:pt>
                <c:pt idx="2">
                  <c:v>South</c:v>
                </c:pt>
                <c:pt idx="3">
                  <c:v>West</c:v>
                </c:pt>
              </c:strCache>
            </c:strRef>
          </c:cat>
          <c:val>
            <c:numRef>
              <c:f>Pivot_Table_2!$C$6:$C$10</c:f>
              <c:numCache>
                <c:formatCode>[$KES]\ #,##0</c:formatCode>
                <c:ptCount val="4"/>
                <c:pt idx="0">
                  <c:v>9065.32</c:v>
                </c:pt>
                <c:pt idx="1">
                  <c:v>26831.52</c:v>
                </c:pt>
                <c:pt idx="2">
                  <c:v>13359.45</c:v>
                </c:pt>
                <c:pt idx="3">
                  <c:v>13936.949999999999</c:v>
                </c:pt>
              </c:numCache>
            </c:numRef>
          </c:val>
          <c:extLst>
            <c:ext xmlns:c16="http://schemas.microsoft.com/office/drawing/2014/chart" uri="{C3380CC4-5D6E-409C-BE32-E72D297353CC}">
              <c16:uniqueId val="{00000017-5E4E-4918-B64B-86E23A974198}"/>
            </c:ext>
          </c:extLst>
        </c:ser>
        <c:ser>
          <c:idx val="2"/>
          <c:order val="2"/>
          <c:tx>
            <c:strRef>
              <c:f>Pivot_Table_2!$D$4:$D$5</c:f>
              <c:strCache>
                <c:ptCount val="1"/>
                <c:pt idx="0">
                  <c:v>Home_&amp;_Kitchen</c:v>
                </c:pt>
              </c:strCache>
            </c:strRef>
          </c:tx>
          <c:spPr>
            <a:solidFill>
              <a:schemeClr val="accent3"/>
            </a:solidFill>
            <a:ln>
              <a:noFill/>
            </a:ln>
            <a:effectLst/>
          </c:spPr>
          <c:invertIfNegative val="0"/>
          <c:cat>
            <c:strRef>
              <c:f>Pivot_Table_2!$A$6:$A$10</c:f>
              <c:strCache>
                <c:ptCount val="4"/>
                <c:pt idx="0">
                  <c:v>East</c:v>
                </c:pt>
                <c:pt idx="1">
                  <c:v>North</c:v>
                </c:pt>
                <c:pt idx="2">
                  <c:v>South</c:v>
                </c:pt>
                <c:pt idx="3">
                  <c:v>West</c:v>
                </c:pt>
              </c:strCache>
            </c:strRef>
          </c:cat>
          <c:val>
            <c:numRef>
              <c:f>Pivot_Table_2!$D$6:$D$10</c:f>
              <c:numCache>
                <c:formatCode>[$KES]\ #,##0</c:formatCode>
                <c:ptCount val="4"/>
                <c:pt idx="0">
                  <c:v>15693.36</c:v>
                </c:pt>
                <c:pt idx="1">
                  <c:v>16720.61</c:v>
                </c:pt>
                <c:pt idx="2">
                  <c:v>18778.810000000001</c:v>
                </c:pt>
                <c:pt idx="3">
                  <c:v>5105.7099999999991</c:v>
                </c:pt>
              </c:numCache>
            </c:numRef>
          </c:val>
          <c:extLst>
            <c:ext xmlns:c16="http://schemas.microsoft.com/office/drawing/2014/chart" uri="{C3380CC4-5D6E-409C-BE32-E72D297353CC}">
              <c16:uniqueId val="{00000018-5E4E-4918-B64B-86E23A974198}"/>
            </c:ext>
          </c:extLst>
        </c:ser>
        <c:ser>
          <c:idx val="3"/>
          <c:order val="3"/>
          <c:tx>
            <c:strRef>
              <c:f>Pivot_Table_2!$E$4:$E$5</c:f>
              <c:strCache>
                <c:ptCount val="1"/>
                <c:pt idx="0">
                  <c:v>Sports</c:v>
                </c:pt>
              </c:strCache>
            </c:strRef>
          </c:tx>
          <c:spPr>
            <a:solidFill>
              <a:schemeClr val="accent4"/>
            </a:solidFill>
            <a:ln>
              <a:noFill/>
            </a:ln>
            <a:effectLst/>
          </c:spPr>
          <c:invertIfNegative val="0"/>
          <c:cat>
            <c:strRef>
              <c:f>Pivot_Table_2!$A$6:$A$10</c:f>
              <c:strCache>
                <c:ptCount val="4"/>
                <c:pt idx="0">
                  <c:v>East</c:v>
                </c:pt>
                <c:pt idx="1">
                  <c:v>North</c:v>
                </c:pt>
                <c:pt idx="2">
                  <c:v>South</c:v>
                </c:pt>
                <c:pt idx="3">
                  <c:v>West</c:v>
                </c:pt>
              </c:strCache>
            </c:strRef>
          </c:cat>
          <c:val>
            <c:numRef>
              <c:f>Pivot_Table_2!$E$6:$E$10</c:f>
              <c:numCache>
                <c:formatCode>[$KES]\ #,##0</c:formatCode>
                <c:ptCount val="4"/>
                <c:pt idx="0">
                  <c:v>9561.69</c:v>
                </c:pt>
                <c:pt idx="1">
                  <c:v>7850.0999999999995</c:v>
                </c:pt>
                <c:pt idx="2">
                  <c:v>5202.7299999999996</c:v>
                </c:pt>
                <c:pt idx="3">
                  <c:v>16868.91</c:v>
                </c:pt>
              </c:numCache>
            </c:numRef>
          </c:val>
          <c:extLst>
            <c:ext xmlns:c16="http://schemas.microsoft.com/office/drawing/2014/chart" uri="{C3380CC4-5D6E-409C-BE32-E72D297353CC}">
              <c16:uniqueId val="{00000019-5E4E-4918-B64B-86E23A974198}"/>
            </c:ext>
          </c:extLst>
        </c:ser>
        <c:dLbls>
          <c:showLegendKey val="0"/>
          <c:showVal val="0"/>
          <c:showCatName val="0"/>
          <c:showSerName val="0"/>
          <c:showPercent val="0"/>
          <c:showBubbleSize val="0"/>
        </c:dLbls>
        <c:gapWidth val="182"/>
        <c:axId val="1721069295"/>
        <c:axId val="1721056815"/>
      </c:barChart>
      <c:catAx>
        <c:axId val="172106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56815"/>
        <c:crosses val="autoZero"/>
        <c:auto val="1"/>
        <c:lblAlgn val="ctr"/>
        <c:lblOffset val="100"/>
        <c:noMultiLvlLbl val="0"/>
      </c:catAx>
      <c:valAx>
        <c:axId val="1721056815"/>
        <c:scaling>
          <c:orientation val="minMax"/>
        </c:scaling>
        <c:delete val="1"/>
        <c:axPos val="b"/>
        <c:numFmt formatCode="[$KES]\ #,##0" sourceLinked="1"/>
        <c:majorTickMark val="none"/>
        <c:minorTickMark val="none"/>
        <c:tickLblPos val="nextTo"/>
        <c:crossAx val="1721069295"/>
        <c:crosses val="autoZero"/>
        <c:crossBetween val="between"/>
      </c:valAx>
      <c:spPr>
        <a:solidFill>
          <a:srgbClr val="FFFF00"/>
        </a:solidFill>
        <a:ln>
          <a:noFill/>
        </a:ln>
        <a:effectLst/>
      </c:spPr>
    </c:plotArea>
    <c:legend>
      <c:legendPos val="r"/>
      <c:layout>
        <c:manualLayout>
          <c:xMode val="edge"/>
          <c:yMode val="edge"/>
          <c:x val="0.79876443568884981"/>
          <c:y val="0.18558383100663142"/>
          <c:w val="0.15651655001978348"/>
          <c:h val="0.52800486895659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[sales_dashboard_week2 PROJECT 1.xlsx]Pivot_Table_1!PivotTable1</c:name>
    <c:fmtId val="18"/>
  </c:pivotSource>
  <c:chart>
    <c:title>
      <c:tx>
        <c:rich>
          <a:bodyPr rot="0" spcFirstLastPara="1" vertOverflow="ellipsis" vert="horz" wrap="square" anchor="ctr" anchorCtr="1"/>
          <a:lstStyle/>
          <a:p>
            <a:pPr>
              <a:defRPr sz="1600" b="1" i="0" u="none" strike="noStrike" kern="1200" spc="0" baseline="0">
                <a:solidFill>
                  <a:schemeClr val="accent5">
                    <a:lumMod val="60000"/>
                    <a:lumOff val="40000"/>
                  </a:schemeClr>
                </a:solidFill>
                <a:latin typeface="+mn-lt"/>
                <a:ea typeface="+mn-ea"/>
                <a:cs typeface="+mn-cs"/>
              </a:defRPr>
            </a:pPr>
            <a:r>
              <a:rPr lang="en-US" sz="1600" b="1">
                <a:solidFill>
                  <a:schemeClr val="accent5">
                    <a:lumMod val="60000"/>
                    <a:lumOff val="40000"/>
                  </a:schemeClr>
                </a:solidFill>
              </a:rPr>
              <a:t>Total Revenue By Region</a:t>
            </a:r>
          </a:p>
        </c:rich>
      </c:tx>
      <c:layout>
        <c:manualLayout>
          <c:xMode val="edge"/>
          <c:yMode val="edge"/>
          <c:x val="0.39707902679188656"/>
          <c:y val="4.329889956415998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11701990142022"/>
          <c:y val="0.30896193021743845"/>
          <c:w val="0.55802503273814541"/>
          <c:h val="0.54313390732700473"/>
        </c:manualLayout>
      </c:layout>
      <c:barChart>
        <c:barDir val="bar"/>
        <c:grouping val="stacked"/>
        <c:varyColors val="0"/>
        <c:ser>
          <c:idx val="0"/>
          <c:order val="0"/>
          <c:tx>
            <c:strRef>
              <c:f>Pivot_Table_1!$B$5</c:f>
              <c:strCache>
                <c:ptCount val="1"/>
                <c:pt idx="0">
                  <c:v>Total</c:v>
                </c:pt>
              </c:strCache>
            </c:strRef>
          </c:tx>
          <c:spPr>
            <a:solidFill>
              <a:schemeClr val="accent5">
                <a:lumMod val="60000"/>
                <a:lumOff val="40000"/>
              </a:schemeClr>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Pivot_Table_1!$A$6:$A$10</c:f>
              <c:strCache>
                <c:ptCount val="4"/>
                <c:pt idx="0">
                  <c:v>South</c:v>
                </c:pt>
                <c:pt idx="1">
                  <c:v>East</c:v>
                </c:pt>
                <c:pt idx="2">
                  <c:v>West</c:v>
                </c:pt>
                <c:pt idx="3">
                  <c:v>North</c:v>
                </c:pt>
              </c:strCache>
            </c:strRef>
          </c:cat>
          <c:val>
            <c:numRef>
              <c:f>Pivot_Table_1!$B$6:$B$10</c:f>
              <c:numCache>
                <c:formatCode>[$KES]\ #,##0</c:formatCode>
                <c:ptCount val="4"/>
                <c:pt idx="0">
                  <c:v>44585.39</c:v>
                </c:pt>
                <c:pt idx="1">
                  <c:v>57384.460000000006</c:v>
                </c:pt>
                <c:pt idx="2">
                  <c:v>70785.710000000006</c:v>
                </c:pt>
                <c:pt idx="3">
                  <c:v>76361.53</c:v>
                </c:pt>
              </c:numCache>
            </c:numRef>
          </c:val>
          <c:extLst>
            <c:ext xmlns:c16="http://schemas.microsoft.com/office/drawing/2014/chart" uri="{C3380CC4-5D6E-409C-BE32-E72D297353CC}">
              <c16:uniqueId val="{00000000-BDF3-442D-8239-86BE53D26B07}"/>
            </c:ext>
          </c:extLst>
        </c:ser>
        <c:dLbls>
          <c:showLegendKey val="0"/>
          <c:showVal val="1"/>
          <c:showCatName val="0"/>
          <c:showSerName val="0"/>
          <c:showPercent val="0"/>
          <c:showBubbleSize val="0"/>
        </c:dLbls>
        <c:gapWidth val="219"/>
        <c:overlap val="100"/>
        <c:axId val="1159016559"/>
        <c:axId val="1159033839"/>
      </c:barChart>
      <c:catAx>
        <c:axId val="1159016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33839"/>
        <c:crosses val="autoZero"/>
        <c:auto val="1"/>
        <c:lblAlgn val="ctr"/>
        <c:lblOffset val="100"/>
        <c:noMultiLvlLbl val="0"/>
      </c:catAx>
      <c:valAx>
        <c:axId val="1159033839"/>
        <c:scaling>
          <c:orientation val="minMax"/>
        </c:scaling>
        <c:delete val="1"/>
        <c:axPos val="b"/>
        <c:numFmt formatCode="[$KES]\ #,##0" sourceLinked="1"/>
        <c:majorTickMark val="out"/>
        <c:minorTickMark val="none"/>
        <c:tickLblPos val="nextTo"/>
        <c:crossAx val="1159016559"/>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[sales_dashboard_week2 PROJECT 1.xlsx]Pivot_Table_1!PivotTable1</c:name>
    <c:fmtId val="0"/>
  </c:pivotSource>
  <c:chart>
    <c:title>
      <c:tx>
        <c:rich>
          <a:bodyPr rot="0" spcFirstLastPara="1" vertOverflow="ellipsis" vert="horz" wrap="square" anchor="ctr" anchorCtr="1"/>
          <a:lstStyle/>
          <a:p>
            <a:pPr>
              <a:defRPr sz="1600" b="1" i="0" u="none" strike="noStrike" kern="1200" spc="0" baseline="0">
                <a:solidFill>
                  <a:schemeClr val="accent5">
                    <a:lumMod val="60000"/>
                    <a:lumOff val="40000"/>
                  </a:schemeClr>
                </a:solidFill>
                <a:latin typeface="+mn-lt"/>
                <a:ea typeface="+mn-ea"/>
                <a:cs typeface="+mn-cs"/>
              </a:defRPr>
            </a:pPr>
            <a:r>
              <a:rPr lang="en-US" sz="1600" b="1">
                <a:solidFill>
                  <a:schemeClr val="accent5">
                    <a:lumMod val="60000"/>
                    <a:lumOff val="40000"/>
                  </a:schemeClr>
                </a:solidFill>
              </a:rPr>
              <a:t>Total Revenue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1966646972463"/>
          <c:y val="0.25391605543953372"/>
          <c:w val="0.75176305444188929"/>
          <c:h val="0.63186196649727555"/>
        </c:manualLayout>
      </c:layout>
      <c:barChart>
        <c:barDir val="bar"/>
        <c:grouping val="stacked"/>
        <c:varyColors val="0"/>
        <c:ser>
          <c:idx val="0"/>
          <c:order val="0"/>
          <c:tx>
            <c:strRef>
              <c:f>Pivot_Table_1!$B$5</c:f>
              <c:strCache>
                <c:ptCount val="1"/>
                <c:pt idx="0">
                  <c:v>Total</c:v>
                </c:pt>
              </c:strCache>
            </c:strRef>
          </c:tx>
          <c:spPr>
            <a:solidFill>
              <a:schemeClr val="accent5">
                <a:lumMod val="60000"/>
                <a:lumOff val="40000"/>
              </a:schemeClr>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Pivot_Table_1!$A$6:$A$10</c:f>
              <c:strCache>
                <c:ptCount val="4"/>
                <c:pt idx="0">
                  <c:v>South</c:v>
                </c:pt>
                <c:pt idx="1">
                  <c:v>East</c:v>
                </c:pt>
                <c:pt idx="2">
                  <c:v>West</c:v>
                </c:pt>
                <c:pt idx="3">
                  <c:v>North</c:v>
                </c:pt>
              </c:strCache>
            </c:strRef>
          </c:cat>
          <c:val>
            <c:numRef>
              <c:f>Pivot_Table_1!$B$6:$B$10</c:f>
              <c:numCache>
                <c:formatCode>[$KES]\ #,##0</c:formatCode>
                <c:ptCount val="4"/>
                <c:pt idx="0">
                  <c:v>44585.39</c:v>
                </c:pt>
                <c:pt idx="1">
                  <c:v>57384.460000000006</c:v>
                </c:pt>
                <c:pt idx="2">
                  <c:v>70785.710000000006</c:v>
                </c:pt>
                <c:pt idx="3">
                  <c:v>76361.53</c:v>
                </c:pt>
              </c:numCache>
            </c:numRef>
          </c:val>
          <c:extLst>
            <c:ext xmlns:c16="http://schemas.microsoft.com/office/drawing/2014/chart" uri="{C3380CC4-5D6E-409C-BE32-E72D297353CC}">
              <c16:uniqueId val="{00000000-6A77-49AB-A831-14D454E3367A}"/>
            </c:ext>
          </c:extLst>
        </c:ser>
        <c:dLbls>
          <c:showLegendKey val="0"/>
          <c:showVal val="1"/>
          <c:showCatName val="0"/>
          <c:showSerName val="0"/>
          <c:showPercent val="0"/>
          <c:showBubbleSize val="0"/>
        </c:dLbls>
        <c:gapWidth val="219"/>
        <c:overlap val="100"/>
        <c:axId val="1159016559"/>
        <c:axId val="1159033839"/>
      </c:barChart>
      <c:catAx>
        <c:axId val="1159016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33839"/>
        <c:crosses val="autoZero"/>
        <c:auto val="1"/>
        <c:lblAlgn val="ctr"/>
        <c:lblOffset val="100"/>
        <c:noMultiLvlLbl val="0"/>
      </c:catAx>
      <c:valAx>
        <c:axId val="1159033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16559"/>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[sales_dashboard_week2 PROJECT 1.xlsx]Pivot_Table_2!PivotTable8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60000"/>
                    <a:lumOff val="40000"/>
                  </a:schemeClr>
                </a:solidFill>
              </a:rPr>
              <a:t>Product Category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1814813229166"/>
          <c:y val="0.16838007406608421"/>
          <c:w val="0.76082495402464179"/>
          <c:h val="0.73298026102901526"/>
        </c:manualLayout>
      </c:layout>
      <c:barChart>
        <c:barDir val="bar"/>
        <c:grouping val="clustered"/>
        <c:varyColors val="0"/>
        <c:ser>
          <c:idx val="0"/>
          <c:order val="0"/>
          <c:tx>
            <c:strRef>
              <c:f>Pivot_Table_2!$B$4:$B$5</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Pivot_Table_2!$A$6:$A$10</c:f>
              <c:strCache>
                <c:ptCount val="4"/>
                <c:pt idx="0">
                  <c:v>East</c:v>
                </c:pt>
                <c:pt idx="1">
                  <c:v>North</c:v>
                </c:pt>
                <c:pt idx="2">
                  <c:v>South</c:v>
                </c:pt>
                <c:pt idx="3">
                  <c:v>West</c:v>
                </c:pt>
              </c:strCache>
            </c:strRef>
          </c:cat>
          <c:val>
            <c:numRef>
              <c:f>Pivot_Table_2!$B$6:$B$10</c:f>
              <c:numCache>
                <c:formatCode>[$KES]\ #,##0</c:formatCode>
                <c:ptCount val="4"/>
                <c:pt idx="0">
                  <c:v>23064.089999999997</c:v>
                </c:pt>
                <c:pt idx="1">
                  <c:v>24959.300000000003</c:v>
                </c:pt>
                <c:pt idx="2">
                  <c:v>7244.4</c:v>
                </c:pt>
                <c:pt idx="3">
                  <c:v>34874.14</c:v>
                </c:pt>
              </c:numCache>
            </c:numRef>
          </c:val>
          <c:extLst>
            <c:ext xmlns:c16="http://schemas.microsoft.com/office/drawing/2014/chart" uri="{C3380CC4-5D6E-409C-BE32-E72D297353CC}">
              <c16:uniqueId val="{00000005-7206-4845-A847-03F0299ED137}"/>
            </c:ext>
          </c:extLst>
        </c:ser>
        <c:ser>
          <c:idx val="1"/>
          <c:order val="1"/>
          <c:tx>
            <c:strRef>
              <c:f>Pivot_Table_2!$C$4:$C$5</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Pivot_Table_2!$A$6:$A$10</c:f>
              <c:strCache>
                <c:ptCount val="4"/>
                <c:pt idx="0">
                  <c:v>East</c:v>
                </c:pt>
                <c:pt idx="1">
                  <c:v>North</c:v>
                </c:pt>
                <c:pt idx="2">
                  <c:v>South</c:v>
                </c:pt>
                <c:pt idx="3">
                  <c:v>West</c:v>
                </c:pt>
              </c:strCache>
            </c:strRef>
          </c:cat>
          <c:val>
            <c:numRef>
              <c:f>Pivot_Table_2!$C$6:$C$10</c:f>
              <c:numCache>
                <c:formatCode>[$KES]\ #,##0</c:formatCode>
                <c:ptCount val="4"/>
                <c:pt idx="0">
                  <c:v>9065.32</c:v>
                </c:pt>
                <c:pt idx="1">
                  <c:v>26831.52</c:v>
                </c:pt>
                <c:pt idx="2">
                  <c:v>13359.45</c:v>
                </c:pt>
                <c:pt idx="3">
                  <c:v>13936.949999999999</c:v>
                </c:pt>
              </c:numCache>
            </c:numRef>
          </c:val>
          <c:extLst>
            <c:ext xmlns:c16="http://schemas.microsoft.com/office/drawing/2014/chart" uri="{C3380CC4-5D6E-409C-BE32-E72D297353CC}">
              <c16:uniqueId val="{00000017-7206-4845-A847-03F0299ED137}"/>
            </c:ext>
          </c:extLst>
        </c:ser>
        <c:ser>
          <c:idx val="2"/>
          <c:order val="2"/>
          <c:tx>
            <c:strRef>
              <c:f>Pivot_Table_2!$D$4:$D$5</c:f>
              <c:strCache>
                <c:ptCount val="1"/>
                <c:pt idx="0">
                  <c:v>Home_&amp;_Kitchen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Pivot_Table_2!$A$6:$A$10</c:f>
              <c:strCache>
                <c:ptCount val="4"/>
                <c:pt idx="0">
                  <c:v>East</c:v>
                </c:pt>
                <c:pt idx="1">
                  <c:v>North</c:v>
                </c:pt>
                <c:pt idx="2">
                  <c:v>South</c:v>
                </c:pt>
                <c:pt idx="3">
                  <c:v>West</c:v>
                </c:pt>
              </c:strCache>
            </c:strRef>
          </c:cat>
          <c:val>
            <c:numRef>
              <c:f>Pivot_Table_2!$D$6:$D$10</c:f>
              <c:numCache>
                <c:formatCode>[$KES]\ #,##0</c:formatCode>
                <c:ptCount val="4"/>
                <c:pt idx="0">
                  <c:v>15693.36</c:v>
                </c:pt>
                <c:pt idx="1">
                  <c:v>16720.61</c:v>
                </c:pt>
                <c:pt idx="2">
                  <c:v>18778.810000000001</c:v>
                </c:pt>
                <c:pt idx="3">
                  <c:v>5105.7099999999991</c:v>
                </c:pt>
              </c:numCache>
            </c:numRef>
          </c:val>
          <c:extLst>
            <c:ext xmlns:c16="http://schemas.microsoft.com/office/drawing/2014/chart" uri="{C3380CC4-5D6E-409C-BE32-E72D297353CC}">
              <c16:uniqueId val="{00000018-7206-4845-A847-03F0299ED137}"/>
            </c:ext>
          </c:extLst>
        </c:ser>
        <c:ser>
          <c:idx val="3"/>
          <c:order val="3"/>
          <c:tx>
            <c:strRef>
              <c:f>Pivot_Table_2!$E$4:$E$5</c:f>
              <c:strCache>
                <c:ptCount val="1"/>
                <c:pt idx="0">
                  <c:v>Sports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Pivot_Table_2!$A$6:$A$10</c:f>
              <c:strCache>
                <c:ptCount val="4"/>
                <c:pt idx="0">
                  <c:v>East</c:v>
                </c:pt>
                <c:pt idx="1">
                  <c:v>North</c:v>
                </c:pt>
                <c:pt idx="2">
                  <c:v>South</c:v>
                </c:pt>
                <c:pt idx="3">
                  <c:v>West</c:v>
                </c:pt>
              </c:strCache>
            </c:strRef>
          </c:cat>
          <c:val>
            <c:numRef>
              <c:f>Pivot_Table_2!$E$6:$E$10</c:f>
              <c:numCache>
                <c:formatCode>[$KES]\ #,##0</c:formatCode>
                <c:ptCount val="4"/>
                <c:pt idx="0">
                  <c:v>9561.69</c:v>
                </c:pt>
                <c:pt idx="1">
                  <c:v>7850.0999999999995</c:v>
                </c:pt>
                <c:pt idx="2">
                  <c:v>5202.7299999999996</c:v>
                </c:pt>
                <c:pt idx="3">
                  <c:v>16868.91</c:v>
                </c:pt>
              </c:numCache>
            </c:numRef>
          </c:val>
          <c:extLst>
            <c:ext xmlns:c16="http://schemas.microsoft.com/office/drawing/2014/chart" uri="{C3380CC4-5D6E-409C-BE32-E72D297353CC}">
              <c16:uniqueId val="{00000019-7206-4845-A847-03F0299ED137}"/>
            </c:ext>
          </c:extLst>
        </c:ser>
        <c:dLbls>
          <c:dLblPos val="outEnd"/>
          <c:showLegendKey val="0"/>
          <c:showVal val="1"/>
          <c:showCatName val="0"/>
          <c:showSerName val="0"/>
          <c:showPercent val="0"/>
          <c:showBubbleSize val="0"/>
        </c:dLbls>
        <c:gapWidth val="182"/>
        <c:axId val="1721069295"/>
        <c:axId val="1721056815"/>
      </c:barChart>
      <c:catAx>
        <c:axId val="17210692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56815"/>
        <c:crosses val="autoZero"/>
        <c:auto val="1"/>
        <c:lblAlgn val="ctr"/>
        <c:lblOffset val="100"/>
        <c:noMultiLvlLbl val="0"/>
      </c:catAx>
      <c:valAx>
        <c:axId val="1721056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69295"/>
        <c:crosses val="autoZero"/>
        <c:crossBetween val="between"/>
      </c:valAx>
      <c:spPr>
        <a:solidFill>
          <a:srgbClr val="FFFF00"/>
        </a:solidFill>
        <a:ln>
          <a:noFill/>
        </a:ln>
        <a:effectLst/>
      </c:spPr>
    </c:plotArea>
    <c:legend>
      <c:legendPos val="r"/>
      <c:layout>
        <c:manualLayout>
          <c:xMode val="edge"/>
          <c:yMode val="edge"/>
          <c:x val="0.83533260632497264"/>
          <c:y val="0.48208788417576837"/>
          <c:w val="0.11414363248547171"/>
          <c:h val="0.32441854984845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[sales_dashboard_week2 PROJECT 1.xlsx]Pivot_Table_3!PivotTable6</c:name>
    <c:fmtId val="0"/>
  </c:pivotSource>
  <c:chart>
    <c:title>
      <c:tx>
        <c:rich>
          <a:bodyPr rot="0" spcFirstLastPara="1" vertOverflow="ellipsis" vert="horz" wrap="square" anchor="ctr" anchorCtr="1"/>
          <a:lstStyle/>
          <a:p>
            <a:pPr>
              <a:defRPr sz="16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5">
                    <a:lumMod val="60000"/>
                    <a:lumOff val="40000"/>
                  </a:schemeClr>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Pivot_Table_3!$B$3:$B$4</c:f>
              <c:strCache>
                <c:ptCount val="1"/>
                <c:pt idx="0">
                  <c:v>Clothing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Pivot_Table_3!$A$5:$A$9</c:f>
              <c:strCache>
                <c:ptCount val="4"/>
                <c:pt idx="0">
                  <c:v>Jan</c:v>
                </c:pt>
                <c:pt idx="1">
                  <c:v>Feb</c:v>
                </c:pt>
                <c:pt idx="2">
                  <c:v>Mar</c:v>
                </c:pt>
                <c:pt idx="3">
                  <c:v>Apr</c:v>
                </c:pt>
              </c:strCache>
            </c:strRef>
          </c:cat>
          <c:val>
            <c:numRef>
              <c:f>Pivot_Table_3!$B$5:$B$9</c:f>
              <c:numCache>
                <c:formatCode>[$KES]\ #,##0</c:formatCode>
                <c:ptCount val="4"/>
                <c:pt idx="0">
                  <c:v>34893.94</c:v>
                </c:pt>
                <c:pt idx="1">
                  <c:v>32240.399999999998</c:v>
                </c:pt>
                <c:pt idx="2">
                  <c:v>21200.05</c:v>
                </c:pt>
                <c:pt idx="3">
                  <c:v>1807.54</c:v>
                </c:pt>
              </c:numCache>
            </c:numRef>
          </c:val>
          <c:smooth val="0"/>
          <c:extLst>
            <c:ext xmlns:c16="http://schemas.microsoft.com/office/drawing/2014/chart" uri="{C3380CC4-5D6E-409C-BE32-E72D297353CC}">
              <c16:uniqueId val="{00000000-5548-4D99-820E-27182CB4C72D}"/>
            </c:ext>
          </c:extLst>
        </c:ser>
        <c:ser>
          <c:idx val="1"/>
          <c:order val="1"/>
          <c:tx>
            <c:strRef>
              <c:f>Pivot_Table_3!$C$3:$C$4</c:f>
              <c:strCache>
                <c:ptCount val="1"/>
                <c:pt idx="0">
                  <c:v>Electronics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Pivot_Table_3!$A$5:$A$9</c:f>
              <c:strCache>
                <c:ptCount val="4"/>
                <c:pt idx="0">
                  <c:v>Jan</c:v>
                </c:pt>
                <c:pt idx="1">
                  <c:v>Feb</c:v>
                </c:pt>
                <c:pt idx="2">
                  <c:v>Mar</c:v>
                </c:pt>
                <c:pt idx="3">
                  <c:v>Apr</c:v>
                </c:pt>
              </c:strCache>
            </c:strRef>
          </c:cat>
          <c:val>
            <c:numRef>
              <c:f>Pivot_Table_3!$C$5:$C$9</c:f>
              <c:numCache>
                <c:formatCode>[$KES]\ #,##0</c:formatCode>
                <c:ptCount val="4"/>
                <c:pt idx="0">
                  <c:v>10035.799999999999</c:v>
                </c:pt>
                <c:pt idx="1">
                  <c:v>7996.0099999999993</c:v>
                </c:pt>
                <c:pt idx="2">
                  <c:v>37506.97</c:v>
                </c:pt>
                <c:pt idx="3">
                  <c:v>7654.46</c:v>
                </c:pt>
              </c:numCache>
            </c:numRef>
          </c:val>
          <c:smooth val="0"/>
          <c:extLst>
            <c:ext xmlns:c16="http://schemas.microsoft.com/office/drawing/2014/chart" uri="{C3380CC4-5D6E-409C-BE32-E72D297353CC}">
              <c16:uniqueId val="{00000012-5548-4D99-820E-27182CB4C72D}"/>
            </c:ext>
          </c:extLst>
        </c:ser>
        <c:ser>
          <c:idx val="2"/>
          <c:order val="2"/>
          <c:tx>
            <c:strRef>
              <c:f>Pivot_Table_3!$D$3:$D$4</c:f>
              <c:strCache>
                <c:ptCount val="1"/>
                <c:pt idx="0">
                  <c:v>Home_&amp;_Kitchen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Pivot_Table_3!$A$5:$A$9</c:f>
              <c:strCache>
                <c:ptCount val="4"/>
                <c:pt idx="0">
                  <c:v>Jan</c:v>
                </c:pt>
                <c:pt idx="1">
                  <c:v>Feb</c:v>
                </c:pt>
                <c:pt idx="2">
                  <c:v>Mar</c:v>
                </c:pt>
                <c:pt idx="3">
                  <c:v>Apr</c:v>
                </c:pt>
              </c:strCache>
            </c:strRef>
          </c:cat>
          <c:val>
            <c:numRef>
              <c:f>Pivot_Table_3!$D$5:$D$9</c:f>
              <c:numCache>
                <c:formatCode>[$KES]\ #,##0</c:formatCode>
                <c:ptCount val="4"/>
                <c:pt idx="0">
                  <c:v>23422.600000000002</c:v>
                </c:pt>
                <c:pt idx="1">
                  <c:v>9250.5400000000009</c:v>
                </c:pt>
                <c:pt idx="2">
                  <c:v>14743.879999999997</c:v>
                </c:pt>
                <c:pt idx="3">
                  <c:v>8881.4699999999993</c:v>
                </c:pt>
              </c:numCache>
            </c:numRef>
          </c:val>
          <c:smooth val="0"/>
          <c:extLst>
            <c:ext xmlns:c16="http://schemas.microsoft.com/office/drawing/2014/chart" uri="{C3380CC4-5D6E-409C-BE32-E72D297353CC}">
              <c16:uniqueId val="{00000013-5548-4D99-820E-27182CB4C72D}"/>
            </c:ext>
          </c:extLst>
        </c:ser>
        <c:ser>
          <c:idx val="3"/>
          <c:order val="3"/>
          <c:tx>
            <c:strRef>
              <c:f>Pivot_Table_3!$E$3:$E$4</c:f>
              <c:strCache>
                <c:ptCount val="1"/>
                <c:pt idx="0">
                  <c:v>Sports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Pivot_Table_3!$A$5:$A$9</c:f>
              <c:strCache>
                <c:ptCount val="4"/>
                <c:pt idx="0">
                  <c:v>Jan</c:v>
                </c:pt>
                <c:pt idx="1">
                  <c:v>Feb</c:v>
                </c:pt>
                <c:pt idx="2">
                  <c:v>Mar</c:v>
                </c:pt>
                <c:pt idx="3">
                  <c:v>Apr</c:v>
                </c:pt>
              </c:strCache>
            </c:strRef>
          </c:cat>
          <c:val>
            <c:numRef>
              <c:f>Pivot_Table_3!$E$5:$E$9</c:f>
              <c:numCache>
                <c:formatCode>[$KES]\ #,##0</c:formatCode>
                <c:ptCount val="4"/>
                <c:pt idx="0">
                  <c:v>12282.009999999998</c:v>
                </c:pt>
                <c:pt idx="1">
                  <c:v>13431.119999999999</c:v>
                </c:pt>
                <c:pt idx="2">
                  <c:v>11366.16</c:v>
                </c:pt>
                <c:pt idx="3">
                  <c:v>2404.1400000000003</c:v>
                </c:pt>
              </c:numCache>
            </c:numRef>
          </c:val>
          <c:smooth val="0"/>
          <c:extLst>
            <c:ext xmlns:c16="http://schemas.microsoft.com/office/drawing/2014/chart" uri="{C3380CC4-5D6E-409C-BE32-E72D297353CC}">
              <c16:uniqueId val="{00000014-5548-4D99-820E-27182CB4C72D}"/>
            </c:ext>
          </c:extLst>
        </c:ser>
        <c:dLbls>
          <c:dLblPos val="t"/>
          <c:showLegendKey val="0"/>
          <c:showVal val="1"/>
          <c:showCatName val="0"/>
          <c:showSerName val="0"/>
          <c:showPercent val="0"/>
          <c:showBubbleSize val="0"/>
        </c:dLbls>
        <c:marker val="1"/>
        <c:smooth val="0"/>
        <c:axId val="1721124495"/>
        <c:axId val="1721136975"/>
      </c:lineChart>
      <c:catAx>
        <c:axId val="17211244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136975"/>
        <c:crosses val="autoZero"/>
        <c:auto val="1"/>
        <c:lblAlgn val="ctr"/>
        <c:lblOffset val="100"/>
        <c:noMultiLvlLbl val="0"/>
      </c:catAx>
      <c:valAx>
        <c:axId val="1721136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a:t>
                </a:r>
                <a:r>
                  <a:rPr lang="en-US" baseline="0"/>
                  <a:t> of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KES]\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12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285750</xdr:colOff>
      <xdr:row>10</xdr:row>
      <xdr:rowOff>123825</xdr:rowOff>
    </xdr:from>
    <xdr:to>
      <xdr:col>14</xdr:col>
      <xdr:colOff>47625</xdr:colOff>
      <xdr:row>20</xdr:row>
      <xdr:rowOff>57150</xdr:rowOff>
    </xdr:to>
    <xdr:graphicFrame macro="">
      <xdr:nvGraphicFramePr>
        <xdr:cNvPr id="4" name="Chart 3">
          <a:extLst>
            <a:ext uri="{FF2B5EF4-FFF2-40B4-BE49-F238E27FC236}">
              <a16:creationId xmlns:a16="http://schemas.microsoft.com/office/drawing/2014/main" id="{77DC6A9E-FB56-4C47-9021-32728E400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0</xdr:row>
      <xdr:rowOff>0</xdr:rowOff>
    </xdr:from>
    <xdr:to>
      <xdr:col>13</xdr:col>
      <xdr:colOff>733425</xdr:colOff>
      <xdr:row>10</xdr:row>
      <xdr:rowOff>95250</xdr:rowOff>
    </xdr:to>
    <xdr:graphicFrame macro="">
      <xdr:nvGraphicFramePr>
        <xdr:cNvPr id="6" name="Chart 5">
          <a:extLst>
            <a:ext uri="{FF2B5EF4-FFF2-40B4-BE49-F238E27FC236}">
              <a16:creationId xmlns:a16="http://schemas.microsoft.com/office/drawing/2014/main" id="{EA18406F-98E7-45E3-A3EA-BDDBCA42D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0</xdr:row>
      <xdr:rowOff>0</xdr:rowOff>
    </xdr:from>
    <xdr:to>
      <xdr:col>7</xdr:col>
      <xdr:colOff>200026</xdr:colOff>
      <xdr:row>10</xdr:row>
      <xdr:rowOff>38100</xdr:rowOff>
    </xdr:to>
    <xdr:graphicFrame macro="">
      <xdr:nvGraphicFramePr>
        <xdr:cNvPr id="3" name="Chart 2">
          <a:extLst>
            <a:ext uri="{FF2B5EF4-FFF2-40B4-BE49-F238E27FC236}">
              <a16:creationId xmlns:a16="http://schemas.microsoft.com/office/drawing/2014/main" id="{ABE84A4E-B813-4F3C-9D3B-93FFF9061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13</xdr:row>
      <xdr:rowOff>42861</xdr:rowOff>
    </xdr:from>
    <xdr:to>
      <xdr:col>6</xdr:col>
      <xdr:colOff>171450</xdr:colOff>
      <xdr:row>35</xdr:row>
      <xdr:rowOff>171450</xdr:rowOff>
    </xdr:to>
    <xdr:graphicFrame macro="">
      <xdr:nvGraphicFramePr>
        <xdr:cNvPr id="2" name="Chart 1">
          <a:extLst>
            <a:ext uri="{FF2B5EF4-FFF2-40B4-BE49-F238E27FC236}">
              <a16:creationId xmlns:a16="http://schemas.microsoft.com/office/drawing/2014/main" id="{23DCAEC9-0B22-6BC4-23E2-C9EF88A05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1000125</xdr:colOff>
      <xdr:row>0</xdr:row>
      <xdr:rowOff>123825</xdr:rowOff>
    </xdr:from>
    <xdr:to>
      <xdr:col>3</xdr:col>
      <xdr:colOff>695325</xdr:colOff>
      <xdr:row>11</xdr:row>
      <xdr:rowOff>161925</xdr:rowOff>
    </xdr:to>
    <mc:AlternateContent xmlns:mc="http://schemas.openxmlformats.org/markup-compatibility/2006" xmlns:a14="http://schemas.microsoft.com/office/drawing/2010/main">
      <mc:Choice Requires="a14">
        <xdr:graphicFrame macro="">
          <xdr:nvGraphicFramePr>
            <xdr:cNvPr id="4" name="Customer Region">
              <a:extLst>
                <a:ext uri="{FF2B5EF4-FFF2-40B4-BE49-F238E27FC236}">
                  <a16:creationId xmlns:a16="http://schemas.microsoft.com/office/drawing/2014/main" id="{B8EC60C7-8478-C8BC-8847-F34DCB7F9C5A}"/>
                </a:ext>
              </a:extLst>
            </xdr:cNvPr>
            <xdr:cNvGraphicFramePr/>
          </xdr:nvGraphicFramePr>
          <xdr:xfrm>
            <a:off x="0" y="0"/>
            <a:ext cx="0" cy="0"/>
          </xdr:xfrm>
          <a:graphic>
            <a:graphicData uri="http://schemas.microsoft.com/office/drawing/2010/slicer">
              <sle:slicer xmlns:sle="http://schemas.microsoft.com/office/drawing/2010/slicer" name="Customer Region"/>
            </a:graphicData>
          </a:graphic>
        </xdr:graphicFrame>
      </mc:Choice>
      <mc:Fallback xmlns="">
        <xdr:sp macro="" textlink="">
          <xdr:nvSpPr>
            <xdr:cNvPr id="0" name=""/>
            <xdr:cNvSpPr>
              <a:spLocks noTextEdit="1"/>
            </xdr:cNvSpPr>
          </xdr:nvSpPr>
          <xdr:spPr>
            <a:xfrm>
              <a:off x="4438650" y="123825"/>
              <a:ext cx="1819275"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800101</xdr:colOff>
      <xdr:row>0</xdr:row>
      <xdr:rowOff>123825</xdr:rowOff>
    </xdr:from>
    <xdr:to>
      <xdr:col>4</xdr:col>
      <xdr:colOff>542926</xdr:colOff>
      <xdr:row>11</xdr:row>
      <xdr:rowOff>133350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836E3753-171F-2F16-34EE-7C19EA17C88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362701" y="123825"/>
              <a:ext cx="18669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12</xdr:row>
      <xdr:rowOff>9525</xdr:rowOff>
    </xdr:from>
    <xdr:to>
      <xdr:col>8</xdr:col>
      <xdr:colOff>1047749</xdr:colOff>
      <xdr:row>39</xdr:row>
      <xdr:rowOff>180975</xdr:rowOff>
    </xdr:to>
    <xdr:graphicFrame macro="">
      <xdr:nvGraphicFramePr>
        <xdr:cNvPr id="2" name="Chart 1">
          <a:extLst>
            <a:ext uri="{FF2B5EF4-FFF2-40B4-BE49-F238E27FC236}">
              <a16:creationId xmlns:a16="http://schemas.microsoft.com/office/drawing/2014/main" id="{F3BC1225-D5DD-B2F4-5048-28121D083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257174</xdr:colOff>
      <xdr:row>12</xdr:row>
      <xdr:rowOff>142875</xdr:rowOff>
    </xdr:from>
    <xdr:to>
      <xdr:col>9</xdr:col>
      <xdr:colOff>0</xdr:colOff>
      <xdr:row>42</xdr:row>
      <xdr:rowOff>28575</xdr:rowOff>
    </xdr:to>
    <xdr:graphicFrame macro="">
      <xdr:nvGraphicFramePr>
        <xdr:cNvPr id="2" name="Chart 1">
          <a:extLst>
            <a:ext uri="{FF2B5EF4-FFF2-40B4-BE49-F238E27FC236}">
              <a16:creationId xmlns:a16="http://schemas.microsoft.com/office/drawing/2014/main" id="{958FED0C-2EF6-0A9E-ADD6-C65E599AF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8.620834143519" createdVersion="8" refreshedVersion="8" minRefreshableVersion="3" recordCount="101" xr:uid="{5DA3E4D1-869A-48B1-A658-DEAA391519CA}">
  <cacheSource type="worksheet">
    <worksheetSource name="Table1"/>
  </cacheSource>
  <cacheFields count="11">
    <cacheField name="Order ID" numFmtId="0">
      <sharedItems count="101">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haredItems>
    </cacheField>
    <cacheField name="Order Date" numFmtId="14">
      <sharedItems containsSemiMixedTypes="0" containsNonDate="0" containsDate="1" containsString="0" minDate="2023-01-01T00:00:00" maxDate="2023-04-12T00:00:00" count="10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sharedItems>
      <fieldGroup par="10"/>
    </cacheField>
    <cacheField name="Customer Region" numFmtId="0">
      <sharedItems count="4">
        <s v="East"/>
        <s v="West"/>
        <s v="North"/>
        <s v="South"/>
      </sharedItems>
    </cacheField>
    <cacheField name="Product Category" numFmtId="0">
      <sharedItems count="4">
        <s v="Sports"/>
        <s v="Electronics"/>
        <s v="Clothing"/>
        <s v="Home_&amp;_Kitchen"/>
      </sharedItems>
    </cacheField>
    <cacheField name="Product Sub-Category" numFmtId="0">
      <sharedItems count="8">
        <s v="Football"/>
        <s v="Phone"/>
        <s v="Shoes"/>
        <s v="Blender"/>
        <s v="Tennis Racket"/>
        <s v="Cookware"/>
        <s v="Shirt"/>
        <s v="Laptop"/>
      </sharedItems>
    </cacheField>
    <cacheField name="Units Sold" numFmtId="0">
      <sharedItems containsSemiMixedTypes="0" containsString="0" containsNumber="1" containsInteger="1" minValue="1" maxValue="19"/>
    </cacheField>
    <cacheField name="Unit Price" numFmtId="165">
      <sharedItems containsSemiMixedTypes="0" containsString="0" containsNumber="1" minValue="17.05" maxValue="495.13"/>
    </cacheField>
    <cacheField name="Total_Sales" numFmtId="165">
      <sharedItems containsSemiMixedTypes="0" containsString="0" containsNumber="1" minValue="48.44" maxValue="9407.4699999999993"/>
    </cacheField>
    <cacheField name="Target" numFmtId="165">
      <sharedItems containsSemiMixedTypes="0" containsString="0" containsNumber="1" containsInteger="1" minValue="3000" maxValue="3000"/>
    </cacheField>
    <cacheField name="Status" numFmtId="164">
      <sharedItems/>
    </cacheField>
    <cacheField name="Months (Order Date)" numFmtId="0" databaseField="0">
      <fieldGroup base="1">
        <rangePr groupBy="months" startDate="2023-01-01T00:00:00" endDate="2023-04-12T00:00:00"/>
        <groupItems count="14">
          <s v="&lt;01/01/2023"/>
          <s v="Jan"/>
          <s v="Feb"/>
          <s v="Mar"/>
          <s v="Apr"/>
          <s v="May"/>
          <s v="Jun"/>
          <s v="Jul"/>
          <s v="Aug"/>
          <s v="Sep"/>
          <s v="Oct"/>
          <s v="Nov"/>
          <s v="Dec"/>
          <s v="&gt;12/04/2023"/>
        </groupItems>
      </fieldGroup>
    </cacheField>
  </cacheFields>
  <extLst>
    <ext xmlns:x14="http://schemas.microsoft.com/office/spreadsheetml/2009/9/main" uri="{725AE2AE-9491-48be-B2B4-4EB974FC3084}">
      <x14:pivotCacheDefinition pivotCacheId="955899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n v="2"/>
    <n v="458.28"/>
    <n v="916.56"/>
    <n v="3000"/>
    <s v="Below_Target"/>
  </r>
  <r>
    <x v="1"/>
    <x v="1"/>
    <x v="1"/>
    <x v="1"/>
    <x v="1"/>
    <n v="12"/>
    <n v="191.38"/>
    <n v="2296.56"/>
    <n v="3000"/>
    <s v="Below_Target"/>
  </r>
  <r>
    <x v="2"/>
    <x v="2"/>
    <x v="2"/>
    <x v="2"/>
    <x v="2"/>
    <n v="6"/>
    <n v="17.57"/>
    <n v="105.42"/>
    <n v="3000"/>
    <s v="Below_Target"/>
  </r>
  <r>
    <x v="3"/>
    <x v="3"/>
    <x v="0"/>
    <x v="3"/>
    <x v="3"/>
    <n v="4"/>
    <n v="464.88"/>
    <n v="1859.52"/>
    <n v="3000"/>
    <s v="Below_Target"/>
  </r>
  <r>
    <x v="4"/>
    <x v="4"/>
    <x v="0"/>
    <x v="0"/>
    <x v="4"/>
    <n v="11"/>
    <n v="219.81"/>
    <n v="2417.91"/>
    <n v="3000"/>
    <s v="Below_Target"/>
  </r>
  <r>
    <x v="5"/>
    <x v="5"/>
    <x v="1"/>
    <x v="2"/>
    <x v="2"/>
    <n v="17"/>
    <n v="483.66"/>
    <n v="8222.2200000000012"/>
    <n v="3000"/>
    <s v="On_Target"/>
  </r>
  <r>
    <x v="6"/>
    <x v="6"/>
    <x v="2"/>
    <x v="3"/>
    <x v="5"/>
    <n v="6"/>
    <n v="482.17"/>
    <n v="2893.02"/>
    <n v="3000"/>
    <s v="Below_Target"/>
  </r>
  <r>
    <x v="7"/>
    <x v="7"/>
    <x v="2"/>
    <x v="3"/>
    <x v="3"/>
    <n v="5"/>
    <n v="427.97"/>
    <n v="2139.8500000000004"/>
    <n v="3000"/>
    <s v="Below_Target"/>
  </r>
  <r>
    <x v="8"/>
    <x v="8"/>
    <x v="0"/>
    <x v="0"/>
    <x v="0"/>
    <n v="2"/>
    <n v="154.28"/>
    <n v="308.56"/>
    <n v="3000"/>
    <s v="Below_Target"/>
  </r>
  <r>
    <x v="9"/>
    <x v="9"/>
    <x v="3"/>
    <x v="0"/>
    <x v="0"/>
    <n v="6"/>
    <n v="198.7"/>
    <n v="1192.1999999999998"/>
    <n v="3000"/>
    <s v="Below_Target"/>
  </r>
  <r>
    <x v="10"/>
    <x v="10"/>
    <x v="0"/>
    <x v="3"/>
    <x v="3"/>
    <n v="11"/>
    <n v="427.06"/>
    <n v="4697.66"/>
    <n v="3000"/>
    <s v="On_Target"/>
  </r>
  <r>
    <x v="11"/>
    <x v="11"/>
    <x v="0"/>
    <x v="0"/>
    <x v="0"/>
    <n v="16"/>
    <n v="165.29"/>
    <n v="2644.64"/>
    <n v="3000"/>
    <s v="Below_Target"/>
  </r>
  <r>
    <x v="12"/>
    <x v="12"/>
    <x v="0"/>
    <x v="2"/>
    <x v="6"/>
    <n v="16"/>
    <n v="93.05"/>
    <n v="1488.8"/>
    <n v="3000"/>
    <s v="Below_Target"/>
  </r>
  <r>
    <x v="13"/>
    <x v="13"/>
    <x v="0"/>
    <x v="3"/>
    <x v="3"/>
    <n v="1"/>
    <n v="282.83"/>
    <n v="282.83"/>
    <n v="3000"/>
    <s v="Below_Target"/>
  </r>
  <r>
    <x v="14"/>
    <x v="14"/>
    <x v="1"/>
    <x v="2"/>
    <x v="2"/>
    <n v="9"/>
    <n v="468.72"/>
    <n v="4218.4800000000005"/>
    <n v="3000"/>
    <s v="On_Target"/>
  </r>
  <r>
    <x v="15"/>
    <x v="15"/>
    <x v="2"/>
    <x v="3"/>
    <x v="3"/>
    <n v="6"/>
    <n v="351.05"/>
    <n v="2106.3000000000002"/>
    <n v="3000"/>
    <s v="Below_Target"/>
  </r>
  <r>
    <x v="16"/>
    <x v="16"/>
    <x v="1"/>
    <x v="0"/>
    <x v="4"/>
    <n v="16"/>
    <n v="289.33"/>
    <n v="4629.28"/>
    <n v="3000"/>
    <s v="On_Target"/>
  </r>
  <r>
    <x v="17"/>
    <x v="17"/>
    <x v="1"/>
    <x v="0"/>
    <x v="0"/>
    <n v="3"/>
    <n v="57.62"/>
    <n v="172.85999999999999"/>
    <n v="3000"/>
    <s v="Below_Target"/>
  </r>
  <r>
    <x v="18"/>
    <x v="18"/>
    <x v="1"/>
    <x v="2"/>
    <x v="6"/>
    <n v="4"/>
    <n v="311.35000000000002"/>
    <n v="1245.4000000000001"/>
    <n v="3000"/>
    <s v="Below_Target"/>
  </r>
  <r>
    <x v="19"/>
    <x v="19"/>
    <x v="0"/>
    <x v="2"/>
    <x v="6"/>
    <n v="19"/>
    <n v="495.13"/>
    <n v="9407.4699999999993"/>
    <n v="3000"/>
    <s v="On_Target"/>
  </r>
  <r>
    <x v="20"/>
    <x v="20"/>
    <x v="3"/>
    <x v="3"/>
    <x v="5"/>
    <n v="3"/>
    <n v="78.64"/>
    <n v="235.92000000000002"/>
    <n v="3000"/>
    <s v="Below_Target"/>
  </r>
  <r>
    <x v="21"/>
    <x v="21"/>
    <x v="2"/>
    <x v="2"/>
    <x v="2"/>
    <n v="19"/>
    <n v="263.98"/>
    <n v="5015.6200000000008"/>
    <n v="3000"/>
    <s v="On_Target"/>
  </r>
  <r>
    <x v="22"/>
    <x v="22"/>
    <x v="3"/>
    <x v="1"/>
    <x v="7"/>
    <n v="7"/>
    <n v="439.91"/>
    <n v="3079.3700000000003"/>
    <n v="3000"/>
    <s v="On_Target"/>
  </r>
  <r>
    <x v="23"/>
    <x v="23"/>
    <x v="1"/>
    <x v="1"/>
    <x v="7"/>
    <n v="9"/>
    <n v="372.98"/>
    <n v="3356.82"/>
    <n v="3000"/>
    <s v="On_Target"/>
  </r>
  <r>
    <x v="24"/>
    <x v="24"/>
    <x v="1"/>
    <x v="3"/>
    <x v="3"/>
    <n v="1"/>
    <n v="351.54"/>
    <n v="351.54"/>
    <n v="3000"/>
    <s v="Below_Target"/>
  </r>
  <r>
    <x v="25"/>
    <x v="25"/>
    <x v="3"/>
    <x v="3"/>
    <x v="5"/>
    <n v="8"/>
    <n v="354.22"/>
    <n v="2833.76"/>
    <n v="3000"/>
    <s v="Below_Target"/>
  </r>
  <r>
    <x v="26"/>
    <x v="26"/>
    <x v="3"/>
    <x v="1"/>
    <x v="1"/>
    <n v="7"/>
    <n v="186.15"/>
    <n v="1303.05"/>
    <n v="3000"/>
    <s v="Below_Target"/>
  </r>
  <r>
    <x v="27"/>
    <x v="27"/>
    <x v="3"/>
    <x v="3"/>
    <x v="3"/>
    <n v="18"/>
    <n v="153.86000000000001"/>
    <n v="2769.4800000000005"/>
    <n v="3000"/>
    <s v="Below_Target"/>
  </r>
  <r>
    <x v="28"/>
    <x v="28"/>
    <x v="1"/>
    <x v="3"/>
    <x v="5"/>
    <n v="8"/>
    <n v="406.59"/>
    <n v="3252.72"/>
    <n v="3000"/>
    <s v="On_Target"/>
  </r>
  <r>
    <x v="29"/>
    <x v="29"/>
    <x v="1"/>
    <x v="2"/>
    <x v="2"/>
    <n v="1"/>
    <n v="406.96"/>
    <n v="406.96"/>
    <n v="3000"/>
    <s v="Below_Target"/>
  </r>
  <r>
    <x v="30"/>
    <x v="30"/>
    <x v="2"/>
    <x v="2"/>
    <x v="2"/>
    <n v="11"/>
    <n v="434.87"/>
    <n v="4783.57"/>
    <n v="3000"/>
    <s v="On_Target"/>
  </r>
  <r>
    <x v="31"/>
    <x v="31"/>
    <x v="2"/>
    <x v="2"/>
    <x v="2"/>
    <n v="18"/>
    <n v="457.49"/>
    <n v="8234.82"/>
    <n v="3000"/>
    <s v="On_Target"/>
  </r>
  <r>
    <x v="32"/>
    <x v="32"/>
    <x v="1"/>
    <x v="2"/>
    <x v="2"/>
    <n v="10"/>
    <n v="260.56"/>
    <n v="2605.6"/>
    <n v="3000"/>
    <s v="Below_Target"/>
  </r>
  <r>
    <x v="33"/>
    <x v="33"/>
    <x v="3"/>
    <x v="2"/>
    <x v="2"/>
    <n v="3"/>
    <n v="255.74"/>
    <n v="767.22"/>
    <n v="3000"/>
    <s v="Below_Target"/>
  </r>
  <r>
    <x v="34"/>
    <x v="34"/>
    <x v="3"/>
    <x v="3"/>
    <x v="5"/>
    <n v="7"/>
    <n v="401.16"/>
    <n v="2808.1200000000003"/>
    <n v="3000"/>
    <s v="Below_Target"/>
  </r>
  <r>
    <x v="35"/>
    <x v="35"/>
    <x v="2"/>
    <x v="3"/>
    <x v="5"/>
    <n v="16"/>
    <n v="328.48"/>
    <n v="5255.68"/>
    <n v="3000"/>
    <s v="On_Target"/>
  </r>
  <r>
    <x v="36"/>
    <x v="36"/>
    <x v="1"/>
    <x v="2"/>
    <x v="6"/>
    <n v="16"/>
    <n v="353.96"/>
    <n v="5663.36"/>
    <n v="3000"/>
    <s v="On_Target"/>
  </r>
  <r>
    <x v="37"/>
    <x v="37"/>
    <x v="2"/>
    <x v="0"/>
    <x v="4"/>
    <n v="17"/>
    <n v="399.94"/>
    <n v="6798.98"/>
    <n v="3000"/>
    <s v="On_Target"/>
  </r>
  <r>
    <x v="38"/>
    <x v="38"/>
    <x v="2"/>
    <x v="1"/>
    <x v="7"/>
    <n v="2"/>
    <n v="446.1"/>
    <n v="892.2"/>
    <n v="3000"/>
    <s v="Below_Target"/>
  </r>
  <r>
    <x v="39"/>
    <x v="39"/>
    <x v="0"/>
    <x v="0"/>
    <x v="0"/>
    <n v="1"/>
    <n v="175.62"/>
    <n v="175.62"/>
    <n v="3000"/>
    <s v="Below_Target"/>
  </r>
  <r>
    <x v="40"/>
    <x v="40"/>
    <x v="0"/>
    <x v="2"/>
    <x v="2"/>
    <n v="16"/>
    <n v="194.04"/>
    <n v="3104.64"/>
    <n v="3000"/>
    <s v="On_Target"/>
  </r>
  <r>
    <x v="41"/>
    <x v="41"/>
    <x v="0"/>
    <x v="1"/>
    <x v="1"/>
    <n v="12"/>
    <n v="56.05"/>
    <n v="672.59999999999991"/>
    <n v="3000"/>
    <s v="Below_Target"/>
  </r>
  <r>
    <x v="42"/>
    <x v="42"/>
    <x v="3"/>
    <x v="0"/>
    <x v="0"/>
    <n v="5"/>
    <n v="293.36"/>
    <n v="1466.8000000000002"/>
    <n v="3000"/>
    <s v="Below_Target"/>
  </r>
  <r>
    <x v="43"/>
    <x v="43"/>
    <x v="1"/>
    <x v="3"/>
    <x v="5"/>
    <n v="5"/>
    <n v="27.61"/>
    <n v="138.05000000000001"/>
    <n v="3000"/>
    <s v="Below_Target"/>
  </r>
  <r>
    <x v="44"/>
    <x v="44"/>
    <x v="1"/>
    <x v="1"/>
    <x v="1"/>
    <n v="9"/>
    <n v="238.14"/>
    <n v="2143.2599999999998"/>
    <n v="3000"/>
    <s v="Below_Target"/>
  </r>
  <r>
    <x v="45"/>
    <x v="45"/>
    <x v="1"/>
    <x v="1"/>
    <x v="1"/>
    <n v="9"/>
    <n v="275.89999999999998"/>
    <n v="2483.1"/>
    <n v="3000"/>
    <s v="Below_Target"/>
  </r>
  <r>
    <x v="46"/>
    <x v="46"/>
    <x v="1"/>
    <x v="1"/>
    <x v="1"/>
    <n v="3"/>
    <n v="150.41"/>
    <n v="451.23"/>
    <n v="3000"/>
    <s v="Below_Target"/>
  </r>
  <r>
    <x v="47"/>
    <x v="47"/>
    <x v="0"/>
    <x v="2"/>
    <x v="6"/>
    <n v="19"/>
    <n v="299.51"/>
    <n v="5690.69"/>
    <n v="3000"/>
    <s v="On_Target"/>
  </r>
  <r>
    <x v="48"/>
    <x v="48"/>
    <x v="3"/>
    <x v="3"/>
    <x v="5"/>
    <n v="16"/>
    <n v="24.95"/>
    <n v="399.2"/>
    <n v="3000"/>
    <s v="Below_Target"/>
  </r>
  <r>
    <x v="49"/>
    <x v="49"/>
    <x v="3"/>
    <x v="1"/>
    <x v="1"/>
    <n v="16"/>
    <n v="28.3"/>
    <n v="452.8"/>
    <n v="3000"/>
    <s v="Below_Target"/>
  </r>
  <r>
    <x v="50"/>
    <x v="50"/>
    <x v="0"/>
    <x v="2"/>
    <x v="2"/>
    <n v="3"/>
    <n v="413.07"/>
    <n v="1239.21"/>
    <n v="3000"/>
    <s v="Below_Target"/>
  </r>
  <r>
    <x v="51"/>
    <x v="51"/>
    <x v="3"/>
    <x v="3"/>
    <x v="3"/>
    <n v="1"/>
    <n v="186.49"/>
    <n v="186.49"/>
    <n v="3000"/>
    <s v="Below_Target"/>
  </r>
  <r>
    <x v="52"/>
    <x v="52"/>
    <x v="0"/>
    <x v="1"/>
    <x v="1"/>
    <n v="11"/>
    <n v="72.260000000000005"/>
    <n v="794.86"/>
    <n v="3000"/>
    <s v="Below_Target"/>
  </r>
  <r>
    <x v="53"/>
    <x v="53"/>
    <x v="1"/>
    <x v="2"/>
    <x v="6"/>
    <n v="17"/>
    <n v="265.89999999999998"/>
    <n v="4520.2999999999993"/>
    <n v="3000"/>
    <s v="On_Target"/>
  </r>
  <r>
    <x v="54"/>
    <x v="54"/>
    <x v="0"/>
    <x v="0"/>
    <x v="0"/>
    <n v="8"/>
    <n v="387.3"/>
    <n v="3098.4"/>
    <n v="3000"/>
    <s v="On_Target"/>
  </r>
  <r>
    <x v="55"/>
    <x v="55"/>
    <x v="1"/>
    <x v="3"/>
    <x v="5"/>
    <n v="4"/>
    <n v="115.75"/>
    <n v="463"/>
    <n v="3000"/>
    <s v="Below_Target"/>
  </r>
  <r>
    <x v="56"/>
    <x v="56"/>
    <x v="1"/>
    <x v="0"/>
    <x v="4"/>
    <n v="6"/>
    <n v="315.22000000000003"/>
    <n v="1891.3200000000002"/>
    <n v="3000"/>
    <s v="Below_Target"/>
  </r>
  <r>
    <x v="57"/>
    <x v="57"/>
    <x v="2"/>
    <x v="2"/>
    <x v="6"/>
    <n v="8"/>
    <n v="51.82"/>
    <n v="414.56"/>
    <n v="3000"/>
    <s v="Below_Target"/>
  </r>
  <r>
    <x v="58"/>
    <x v="58"/>
    <x v="0"/>
    <x v="1"/>
    <x v="1"/>
    <n v="3"/>
    <n v="35.32"/>
    <n v="105.96000000000001"/>
    <n v="3000"/>
    <s v="Below_Target"/>
  </r>
  <r>
    <x v="59"/>
    <x v="59"/>
    <x v="2"/>
    <x v="3"/>
    <x v="5"/>
    <n v="16"/>
    <n v="270.36"/>
    <n v="4325.76"/>
    <n v="3000"/>
    <s v="On_Target"/>
  </r>
  <r>
    <x v="60"/>
    <x v="60"/>
    <x v="0"/>
    <x v="3"/>
    <x v="3"/>
    <n v="3"/>
    <n v="274.91000000000003"/>
    <n v="824.73"/>
    <n v="3000"/>
    <s v="Below_Target"/>
  </r>
  <r>
    <x v="61"/>
    <x v="61"/>
    <x v="0"/>
    <x v="1"/>
    <x v="1"/>
    <n v="18"/>
    <n v="322.33999999999997"/>
    <n v="5802.12"/>
    <n v="3000"/>
    <s v="On_Target"/>
  </r>
  <r>
    <x v="62"/>
    <x v="62"/>
    <x v="2"/>
    <x v="2"/>
    <x v="6"/>
    <n v="14"/>
    <n v="365.78"/>
    <n v="5120.92"/>
    <n v="3000"/>
    <s v="On_Target"/>
  </r>
  <r>
    <x v="63"/>
    <x v="63"/>
    <x v="2"/>
    <x v="1"/>
    <x v="7"/>
    <n v="18"/>
    <n v="488.17"/>
    <n v="8787.06"/>
    <n v="3000"/>
    <s v="On_Target"/>
  </r>
  <r>
    <x v="64"/>
    <x v="64"/>
    <x v="0"/>
    <x v="2"/>
    <x v="2"/>
    <n v="2"/>
    <n v="262.99"/>
    <n v="525.98"/>
    <n v="3000"/>
    <s v="Below_Target"/>
  </r>
  <r>
    <x v="65"/>
    <x v="65"/>
    <x v="3"/>
    <x v="0"/>
    <x v="4"/>
    <n v="3"/>
    <n v="168.25"/>
    <n v="504.75"/>
    <n v="3000"/>
    <s v="Below_Target"/>
  </r>
  <r>
    <x v="66"/>
    <x v="66"/>
    <x v="1"/>
    <x v="0"/>
    <x v="0"/>
    <n v="16"/>
    <n v="399.64"/>
    <n v="6394.24"/>
    <n v="3000"/>
    <s v="On_Target"/>
  </r>
  <r>
    <x v="67"/>
    <x v="67"/>
    <x v="2"/>
    <x v="2"/>
    <x v="6"/>
    <n v="9"/>
    <n v="142.71"/>
    <n v="1284.3900000000001"/>
    <n v="3000"/>
    <s v="Below_Target"/>
  </r>
  <r>
    <x v="68"/>
    <x v="68"/>
    <x v="1"/>
    <x v="3"/>
    <x v="5"/>
    <n v="4"/>
    <n v="225.1"/>
    <n v="900.4"/>
    <n v="3000"/>
    <s v="Below_Target"/>
  </r>
  <r>
    <x v="69"/>
    <x v="69"/>
    <x v="3"/>
    <x v="0"/>
    <x v="4"/>
    <n v="1"/>
    <n v="48.44"/>
    <n v="48.44"/>
    <n v="3000"/>
    <s v="Below_Target"/>
  </r>
  <r>
    <x v="70"/>
    <x v="70"/>
    <x v="3"/>
    <x v="0"/>
    <x v="4"/>
    <n v="4"/>
    <n v="22.42"/>
    <n v="89.68"/>
    <n v="3000"/>
    <s v="Below_Target"/>
  </r>
  <r>
    <x v="71"/>
    <x v="71"/>
    <x v="3"/>
    <x v="0"/>
    <x v="4"/>
    <n v="1"/>
    <n v="481.7"/>
    <n v="481.7"/>
    <n v="3000"/>
    <s v="Below_Target"/>
  </r>
  <r>
    <x v="72"/>
    <x v="72"/>
    <x v="2"/>
    <x v="1"/>
    <x v="1"/>
    <n v="14"/>
    <n v="419.63"/>
    <n v="5874.82"/>
    <n v="3000"/>
    <s v="On_Target"/>
  </r>
  <r>
    <x v="73"/>
    <x v="73"/>
    <x v="3"/>
    <x v="2"/>
    <x v="2"/>
    <n v="16"/>
    <n v="351.03"/>
    <n v="5616.48"/>
    <n v="3000"/>
    <s v="On_Target"/>
  </r>
  <r>
    <x v="74"/>
    <x v="74"/>
    <x v="2"/>
    <x v="1"/>
    <x v="1"/>
    <n v="8"/>
    <n v="210.39"/>
    <n v="1683.12"/>
    <n v="3000"/>
    <s v="Below_Target"/>
  </r>
  <r>
    <x v="75"/>
    <x v="75"/>
    <x v="3"/>
    <x v="3"/>
    <x v="5"/>
    <n v="7"/>
    <n v="94.91"/>
    <n v="664.37"/>
    <n v="3000"/>
    <s v="Below_Target"/>
  </r>
  <r>
    <x v="76"/>
    <x v="76"/>
    <x v="1"/>
    <x v="1"/>
    <x v="1"/>
    <n v="3"/>
    <n v="86.65"/>
    <n v="259.95000000000005"/>
    <n v="3000"/>
    <s v="Below_Target"/>
  </r>
  <r>
    <x v="77"/>
    <x v="77"/>
    <x v="1"/>
    <x v="1"/>
    <x v="7"/>
    <n v="17"/>
    <n v="132.62"/>
    <n v="2254.54"/>
    <n v="3000"/>
    <s v="Below_Target"/>
  </r>
  <r>
    <x v="78"/>
    <x v="78"/>
    <x v="0"/>
    <x v="2"/>
    <x v="2"/>
    <n v="1"/>
    <n v="279.12"/>
    <n v="279.12"/>
    <n v="3000"/>
    <s v="Below_Target"/>
  </r>
  <r>
    <x v="79"/>
    <x v="79"/>
    <x v="1"/>
    <x v="2"/>
    <x v="2"/>
    <n v="16"/>
    <n v="360.15"/>
    <n v="5762.4"/>
    <n v="3000"/>
    <s v="On_Target"/>
  </r>
  <r>
    <x v="80"/>
    <x v="80"/>
    <x v="0"/>
    <x v="3"/>
    <x v="5"/>
    <n v="12"/>
    <n v="333.5"/>
    <n v="4002"/>
    <n v="3000"/>
    <s v="On_Target"/>
  </r>
  <r>
    <x v="81"/>
    <x v="81"/>
    <x v="1"/>
    <x v="0"/>
    <x v="0"/>
    <n v="19"/>
    <n v="147.16999999999999"/>
    <n v="2796.2299999999996"/>
    <n v="3000"/>
    <s v="Below_Target"/>
  </r>
  <r>
    <x v="82"/>
    <x v="82"/>
    <x v="2"/>
    <x v="1"/>
    <x v="7"/>
    <n v="14"/>
    <n v="477.88"/>
    <n v="6690.32"/>
    <n v="3000"/>
    <s v="On_Target"/>
  </r>
  <r>
    <x v="83"/>
    <x v="83"/>
    <x v="1"/>
    <x v="2"/>
    <x v="6"/>
    <n v="6"/>
    <n v="371.57"/>
    <n v="2229.42"/>
    <n v="3000"/>
    <s v="Below_Target"/>
  </r>
  <r>
    <x v="84"/>
    <x v="84"/>
    <x v="0"/>
    <x v="1"/>
    <x v="1"/>
    <n v="6"/>
    <n v="281.63"/>
    <n v="1689.78"/>
    <n v="3000"/>
    <s v="Below_Target"/>
  </r>
  <r>
    <x v="85"/>
    <x v="85"/>
    <x v="0"/>
    <x v="3"/>
    <x v="3"/>
    <n v="13"/>
    <n v="309.74"/>
    <n v="4026.62"/>
    <n v="3000"/>
    <s v="On_Target"/>
  </r>
  <r>
    <x v="86"/>
    <x v="86"/>
    <x v="3"/>
    <x v="1"/>
    <x v="1"/>
    <n v="19"/>
    <n v="215.6"/>
    <n v="4096.3999999999996"/>
    <n v="3000"/>
    <s v="On_Target"/>
  </r>
  <r>
    <x v="87"/>
    <x v="87"/>
    <x v="2"/>
    <x v="0"/>
    <x v="4"/>
    <n v="8"/>
    <n v="131.38999999999999"/>
    <n v="1051.1199999999999"/>
    <n v="3000"/>
    <s v="Below_Target"/>
  </r>
  <r>
    <x v="88"/>
    <x v="88"/>
    <x v="1"/>
    <x v="1"/>
    <x v="1"/>
    <n v="2"/>
    <n v="184.43"/>
    <n v="368.86"/>
    <n v="3000"/>
    <s v="Below_Target"/>
  </r>
  <r>
    <x v="89"/>
    <x v="89"/>
    <x v="3"/>
    <x v="2"/>
    <x v="6"/>
    <n v="1"/>
    <n v="381.34"/>
    <n v="381.34"/>
    <n v="3000"/>
    <s v="Below_Target"/>
  </r>
  <r>
    <x v="90"/>
    <x v="90"/>
    <x v="1"/>
    <x v="1"/>
    <x v="1"/>
    <n v="15"/>
    <n v="17.05"/>
    <n v="255.75"/>
    <n v="3000"/>
    <s v="Below_Target"/>
  </r>
  <r>
    <x v="91"/>
    <x v="91"/>
    <x v="1"/>
    <x v="1"/>
    <x v="7"/>
    <n v="1"/>
    <n v="66.88"/>
    <n v="66.88"/>
    <n v="3000"/>
    <s v="Below_Target"/>
  </r>
  <r>
    <x v="92"/>
    <x v="92"/>
    <x v="3"/>
    <x v="1"/>
    <x v="7"/>
    <n v="5"/>
    <n v="32.54"/>
    <n v="162.69999999999999"/>
    <n v="3000"/>
    <s v="Below_Target"/>
  </r>
  <r>
    <x v="93"/>
    <x v="93"/>
    <x v="3"/>
    <x v="2"/>
    <x v="2"/>
    <n v="16"/>
    <n v="29.96"/>
    <n v="479.36"/>
    <n v="3000"/>
    <s v="Below_Target"/>
  </r>
  <r>
    <x v="94"/>
    <x v="94"/>
    <x v="3"/>
    <x v="3"/>
    <x v="5"/>
    <n v="19"/>
    <n v="429.18"/>
    <n v="8154.42"/>
    <n v="3000"/>
    <s v="On_Target"/>
  </r>
  <r>
    <x v="95"/>
    <x v="95"/>
    <x v="3"/>
    <x v="0"/>
    <x v="0"/>
    <n v="4"/>
    <n v="354.79"/>
    <n v="1419.16"/>
    <n v="3000"/>
    <s v="Below_Target"/>
  </r>
  <r>
    <x v="96"/>
    <x v="96"/>
    <x v="3"/>
    <x v="3"/>
    <x v="3"/>
    <n v="3"/>
    <n v="242.35"/>
    <n v="727.05"/>
    <n v="3000"/>
    <s v="Below_Target"/>
  </r>
  <r>
    <x v="97"/>
    <x v="97"/>
    <x v="1"/>
    <x v="0"/>
    <x v="4"/>
    <n v="17"/>
    <n v="57.94"/>
    <n v="984.98"/>
    <n v="3000"/>
    <s v="Below_Target"/>
  </r>
  <r>
    <x v="98"/>
    <x v="98"/>
    <x v="3"/>
    <x v="1"/>
    <x v="1"/>
    <n v="17"/>
    <n v="250.89"/>
    <n v="4265.13"/>
    <n v="3000"/>
    <s v="On_Target"/>
  </r>
  <r>
    <x v="99"/>
    <x v="99"/>
    <x v="2"/>
    <x v="1"/>
    <x v="1"/>
    <n v="12"/>
    <n v="242"/>
    <n v="2904"/>
    <n v="3000"/>
    <s v="Below_Target"/>
  </r>
  <r>
    <x v="100"/>
    <x v="100"/>
    <x v="0"/>
    <x v="2"/>
    <x v="6"/>
    <n v="14"/>
    <n v="94.87"/>
    <n v="1328.18"/>
    <n v="3000"/>
    <s v="Below_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89B172-CE0F-49F9-A293-7E1CD0395B5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colHeaderCaption="">
  <location ref="A5:B10" firstHeaderRow="1" firstDataRow="1" firstDataCol="1" rowPageCount="1" colPageCount="1"/>
  <pivotFields count="11">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numFmtId="14"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Row" compact="0" outline="0"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items count="5">
        <item sd="0" x="2"/>
        <item sd="0" x="1"/>
        <item sd="0" x="3"/>
        <item sd="0" x="0"/>
        <item t="default"/>
      </items>
    </pivotField>
    <pivotField compact="0" outline="0" showAll="0">
      <items count="9">
        <item x="3"/>
        <item x="5"/>
        <item x="0"/>
        <item x="7"/>
        <item x="1"/>
        <item x="6"/>
        <item x="2"/>
        <item x="4"/>
        <item t="default"/>
      </items>
    </pivotField>
    <pivotField compact="0" outline="0" showAll="0"/>
    <pivotField compact="0" numFmtId="165" outline="0" showAll="0"/>
    <pivotField dataField="1" compact="0" numFmtId="165" outline="0" showAll="0"/>
    <pivotField compact="0" numFmtId="165" outline="0" showAll="0"/>
    <pivotField compact="0" outline="0" showAll="0"/>
    <pivotField axis="axisPage"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2"/>
    </i>
    <i>
      <x/>
    </i>
    <i>
      <x v="3"/>
    </i>
    <i>
      <x v="1"/>
    </i>
    <i t="grand">
      <x/>
    </i>
  </rowItems>
  <colItems count="1">
    <i/>
  </colItems>
  <pageFields count="1">
    <pageField fld="10" hier="-1"/>
  </pageFields>
  <dataFields count="1">
    <dataField name="Sum of Total_Revenue_by_Region" fld="7" baseField="0" baseItem="0" numFmtId="166"/>
  </dataFields>
  <formats count="5">
    <format dxfId="37">
      <pivotArea field="3" type="button" dataOnly="0" labelOnly="1" outline="0"/>
    </format>
    <format dxfId="36">
      <pivotArea field="4" type="button" dataOnly="0" labelOnly="1" outline="0"/>
    </format>
    <format dxfId="35">
      <pivotArea type="topRight" dataOnly="0" labelOnly="1" outline="0" fieldPosition="0"/>
    </format>
    <format dxfId="34">
      <pivotArea outline="0" collapsedLevelsAreSubtotals="1" fieldPosition="0"/>
    </format>
    <format dxfId="33">
      <pivotArea dataOnly="0" labelOnly="1" outline="0" axis="axisValues" fieldPosition="0"/>
    </format>
  </formats>
  <chartFormats count="3">
    <chartFormat chart="6"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055CD-0F30-4BB1-B5ED-C4176F1E17CA}"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F10" firstHeaderRow="1" firstDataRow="2" firstDataCol="1" rowPageCount="1" colPageCount="1"/>
  <pivotFields count="11">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Page" compact="0" numFmtId="14"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Row" compact="0" outline="0" showAll="0">
      <items count="5">
        <item sd="0" x="0"/>
        <item sd="0" x="2"/>
        <item sd="0" x="3"/>
        <item sd="0" x="1"/>
        <item t="default"/>
      </items>
    </pivotField>
    <pivotField axis="axisCol" compact="0" outline="0" showAll="0">
      <items count="5">
        <item x="2"/>
        <item x="1"/>
        <item x="3"/>
        <item x="0"/>
        <item t="default"/>
      </items>
    </pivotField>
    <pivotField compact="0" outline="0" showAll="0"/>
    <pivotField compact="0" outline="0" showAll="0"/>
    <pivotField compact="0" numFmtId="165" outline="0" showAll="0"/>
    <pivotField dataField="1" compact="0" numFmtId="165" outline="0" showAll="0"/>
    <pivotField compact="0" numFmtId="165" outline="0" showAll="0"/>
    <pivotField compact="0" outline="0" showAll="0"/>
    <pivotField compact="0" outline="0"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3"/>
  </colFields>
  <colItems count="5">
    <i>
      <x/>
    </i>
    <i>
      <x v="1"/>
    </i>
    <i>
      <x v="2"/>
    </i>
    <i>
      <x v="3"/>
    </i>
    <i t="grand">
      <x/>
    </i>
  </colItems>
  <pageFields count="1">
    <pageField fld="1" hier="-1"/>
  </pageFields>
  <dataFields count="1">
    <dataField name="Sum of Total_Sales" fld="7" baseField="0" baseItem="0" numFmtId="165"/>
  </dataFields>
  <formats count="9">
    <format dxfId="55">
      <pivotArea field="2" grandCol="1" outline="0" axis="axisRow" fieldPosition="0">
        <references count="1">
          <reference field="2" count="1" selected="0">
            <x v="3"/>
          </reference>
        </references>
      </pivotArea>
    </format>
    <format dxfId="54">
      <pivotArea outline="0" fieldPosition="0">
        <references count="1">
          <reference field="3" count="1" selected="0">
            <x v="0"/>
          </reference>
        </references>
      </pivotArea>
    </format>
    <format dxfId="53">
      <pivotArea dataOnly="0" labelOnly="1" outline="0" fieldPosition="0">
        <references count="1">
          <reference field="1" count="0"/>
        </references>
      </pivotArea>
    </format>
    <format dxfId="52">
      <pivotArea field="3" type="button" dataOnly="0" labelOnly="1" outline="0" axis="axisCol" fieldPosition="0"/>
    </format>
    <format dxfId="51">
      <pivotArea dataOnly="0" labelOnly="1" outline="0" fieldPosition="0">
        <references count="1">
          <reference field="3" count="1">
            <x v="0"/>
          </reference>
        </references>
      </pivotArea>
    </format>
    <format dxfId="50">
      <pivotArea outline="0" fieldPosition="0">
        <references count="1">
          <reference field="3" count="1" selected="0">
            <x v="1"/>
          </reference>
        </references>
      </pivotArea>
    </format>
    <format dxfId="49">
      <pivotArea type="topRight" dataOnly="0" labelOnly="1" outline="0" fieldPosition="0"/>
    </format>
    <format dxfId="48">
      <pivotArea dataOnly="0" labelOnly="1" outline="0" fieldPosition="0">
        <references count="1">
          <reference field="3" count="1">
            <x v="1"/>
          </reference>
        </references>
      </pivotArea>
    </format>
    <format dxfId="47">
      <pivotArea outline="0" fieldPosition="0">
        <references count="1">
          <reference field="3" count="1" selected="0">
            <x v="2"/>
          </reference>
        </references>
      </pivotArea>
    </format>
  </formats>
  <chartFormats count="24">
    <chartFormat chart="3" format="23" series="1">
      <pivotArea type="data" outline="0" fieldPosition="0">
        <references count="1">
          <reference field="2" count="1" selected="0">
            <x v="0"/>
          </reference>
        </references>
      </pivotArea>
    </chartFormat>
    <chartFormat chart="3" format="24" series="1">
      <pivotArea type="data" outline="0" fieldPosition="0">
        <references count="1">
          <reference field="2" count="1" selected="0">
            <x v="1"/>
          </reference>
        </references>
      </pivotArea>
    </chartFormat>
    <chartFormat chart="3" format="25" series="1">
      <pivotArea type="data" outline="0" fieldPosition="0">
        <references count="1">
          <reference field="2" count="1" selected="0">
            <x v="2"/>
          </reference>
        </references>
      </pivotArea>
    </chartFormat>
    <chartFormat chart="3" format="26" series="1">
      <pivotArea type="data" outline="0" fieldPosition="0">
        <references count="1">
          <reference field="2" count="1" selected="0">
            <x v="3"/>
          </reference>
        </references>
      </pivotArea>
    </chartFormat>
    <chartFormat chart="0" format="15" series="1">
      <pivotArea type="data" outline="0" fieldPosition="0">
        <references count="1">
          <reference field="2" count="1" selected="0">
            <x v="0"/>
          </reference>
        </references>
      </pivotArea>
    </chartFormat>
    <chartFormat chart="0" format="16" series="1">
      <pivotArea type="data" outline="0" fieldPosition="0">
        <references count="1">
          <reference field="2" count="1" selected="0">
            <x v="1"/>
          </reference>
        </references>
      </pivotArea>
    </chartFormat>
    <chartFormat chart="0" format="17" series="1">
      <pivotArea type="data" outline="0" fieldPosition="0">
        <references count="1">
          <reference field="2" count="1" selected="0">
            <x v="2"/>
          </reference>
        </references>
      </pivotArea>
    </chartFormat>
    <chartFormat chart="0" format="18" series="1">
      <pivotArea type="data" outline="0" fieldPosition="0">
        <references count="1">
          <reference field="2" count="1" selected="0">
            <x v="3"/>
          </reference>
        </references>
      </pivotArea>
    </chartFormat>
    <chartFormat chart="3" format="27" series="1">
      <pivotArea type="data" outline="0" fieldPosition="0">
        <references count="2">
          <reference field="4294967294" count="1" selected="0">
            <x v="0"/>
          </reference>
          <reference field="2" count="1" selected="0">
            <x v="1"/>
          </reference>
        </references>
      </pivotArea>
    </chartFormat>
    <chartFormat chart="3" format="28" series="1">
      <pivotArea type="data" outline="0" fieldPosition="0">
        <references count="2">
          <reference field="4294967294" count="1" selected="0">
            <x v="0"/>
          </reference>
          <reference field="2" count="1" selected="0">
            <x v="2"/>
          </reference>
        </references>
      </pivotArea>
    </chartFormat>
    <chartFormat chart="3" format="29" series="1">
      <pivotArea type="data" outline="0" fieldPosition="0">
        <references count="2">
          <reference field="4294967294" count="1" selected="0">
            <x v="0"/>
          </reference>
          <reference field="2" count="1" selected="0">
            <x v="3"/>
          </reference>
        </references>
      </pivotArea>
    </chartFormat>
    <chartFormat chart="0" format="19" series="1">
      <pivotArea type="data" outline="0" fieldPosition="0">
        <references count="2">
          <reference field="4294967294" count="1" selected="0">
            <x v="0"/>
          </reference>
          <reference field="2" count="1" selected="0">
            <x v="1"/>
          </reference>
        </references>
      </pivotArea>
    </chartFormat>
    <chartFormat chart="0" format="20" series="1">
      <pivotArea type="data" outline="0" fieldPosition="0">
        <references count="2">
          <reference field="4294967294" count="1" selected="0">
            <x v="0"/>
          </reference>
          <reference field="2" count="1" selected="0">
            <x v="2"/>
          </reference>
        </references>
      </pivotArea>
    </chartFormat>
    <chartFormat chart="0" format="21" series="1">
      <pivotArea type="data" outline="0" fieldPosition="0">
        <references count="2">
          <reference field="4294967294" count="1" selected="0">
            <x v="0"/>
          </reference>
          <reference field="2" count="1" selected="0">
            <x v="3"/>
          </reference>
        </references>
      </pivotArea>
    </chartFormat>
    <chartFormat chart="3" format="30" series="1">
      <pivotArea type="data" outline="0" fieldPosition="0">
        <references count="1">
          <reference field="4294967294" count="1" selected="0">
            <x v="0"/>
          </reference>
        </references>
      </pivotArea>
    </chartFormat>
    <chartFormat chart="0" format="22" series="1">
      <pivotArea type="data" outline="0" fieldPosition="0">
        <references count="1">
          <reference field="4294967294" count="1" selected="0">
            <x v="0"/>
          </reference>
        </references>
      </pivotArea>
    </chartFormat>
    <chartFormat chart="3" format="31" series="1">
      <pivotArea type="data" outline="0" fieldPosition="0">
        <references count="2">
          <reference field="4294967294" count="1" selected="0">
            <x v="0"/>
          </reference>
          <reference field="2" count="1" selected="0">
            <x v="0"/>
          </reference>
        </references>
      </pivotArea>
    </chartFormat>
    <chartFormat chart="3" format="32" series="1">
      <pivotArea type="data" outline="0" fieldPosition="0">
        <references count="2">
          <reference field="4294967294" count="1" selected="0">
            <x v="0"/>
          </reference>
          <reference field="3" count="1" selected="0">
            <x v="1"/>
          </reference>
        </references>
      </pivotArea>
    </chartFormat>
    <chartFormat chart="3" format="33" series="1">
      <pivotArea type="data" outline="0" fieldPosition="0">
        <references count="2">
          <reference field="4294967294" count="1" selected="0">
            <x v="0"/>
          </reference>
          <reference field="3" count="1" selected="0">
            <x v="2"/>
          </reference>
        </references>
      </pivotArea>
    </chartFormat>
    <chartFormat chart="3" format="34" series="1">
      <pivotArea type="data" outline="0" fieldPosition="0">
        <references count="2">
          <reference field="4294967294" count="1" selected="0">
            <x v="0"/>
          </reference>
          <reference field="3" count="1" selected="0">
            <x v="3"/>
          </reference>
        </references>
      </pivotArea>
    </chartFormat>
    <chartFormat chart="0" format="23" series="1">
      <pivotArea type="data" outline="0" fieldPosition="0">
        <references count="2">
          <reference field="4294967294" count="1" selected="0">
            <x v="0"/>
          </reference>
          <reference field="3" count="1" selected="0">
            <x v="1"/>
          </reference>
        </references>
      </pivotArea>
    </chartFormat>
    <chartFormat chart="0" format="24" series="1">
      <pivotArea type="data" outline="0" fieldPosition="0">
        <references count="2">
          <reference field="4294967294" count="1" selected="0">
            <x v="0"/>
          </reference>
          <reference field="3" count="1" selected="0">
            <x v="2"/>
          </reference>
        </references>
      </pivotArea>
    </chartFormat>
    <chartFormat chart="0" format="25" series="1">
      <pivotArea type="data" outline="0" fieldPosition="0">
        <references count="2">
          <reference field="4294967294" count="1" selected="0">
            <x v="0"/>
          </reference>
          <reference field="3" count="1" selected="0">
            <x v="3"/>
          </reference>
        </references>
      </pivotArea>
    </chartFormat>
    <chartFormat chart="3" format="35" series="1">
      <pivotArea type="data" outline="0" fieldPosition="0">
        <references count="2">
          <reference field="4294967294" count="1" selected="0">
            <x v="0"/>
          </reference>
          <reference field="3"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BA6D07-FB4D-4DA1-B385-A7DA8EA909C3}"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F9" firstHeaderRow="1" firstDataRow="2" firstDataCol="1" rowPageCount="1" colPageCount="1"/>
  <pivotFields count="11">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numFmtId="14"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Page" compact="0" outline="0" showAll="0">
      <items count="5">
        <item sd="0" x="0"/>
        <item sd="0" x="2"/>
        <item sd="0" x="3"/>
        <item sd="0" x="1"/>
        <item t="default"/>
      </items>
    </pivotField>
    <pivotField axis="axisCol" compact="0" outline="0" showAll="0">
      <items count="5">
        <item x="2"/>
        <item x="1"/>
        <item x="3"/>
        <item x="0"/>
        <item t="default"/>
      </items>
    </pivotField>
    <pivotField compact="0" outline="0" showAll="0">
      <items count="9">
        <item x="3"/>
        <item x="5"/>
        <item x="0"/>
        <item x="7"/>
        <item x="1"/>
        <item x="6"/>
        <item x="2"/>
        <item x="4"/>
        <item t="default"/>
      </items>
    </pivotField>
    <pivotField compact="0" outline="0" showAll="0"/>
    <pivotField compact="0" numFmtId="165" outline="0" showAll="0"/>
    <pivotField dataField="1" compact="0" numFmtId="165" outline="0" showAll="0"/>
    <pivotField compact="0" numFmtId="165" outline="0" showAll="0"/>
    <pivotField compact="0" outline="0" showAll="0"/>
    <pivotField axis="axisRow" compact="0" outline="0" showAll="0">
      <items count="15">
        <item x="0"/>
        <item x="1"/>
        <item x="2"/>
        <item x="3"/>
        <item x="4"/>
        <item x="5"/>
        <item x="6"/>
        <item x="7"/>
        <item x="8"/>
        <item x="9"/>
        <item x="10"/>
        <item x="11"/>
        <item x="12"/>
        <item x="13"/>
        <item t="default"/>
      </items>
    </pivotField>
  </pivotFields>
  <rowFields count="1">
    <field x="10"/>
  </rowFields>
  <rowItems count="5">
    <i>
      <x v="1"/>
    </i>
    <i>
      <x v="2"/>
    </i>
    <i>
      <x v="3"/>
    </i>
    <i>
      <x v="4"/>
    </i>
    <i t="grand">
      <x/>
    </i>
  </rowItems>
  <colFields count="1">
    <field x="3"/>
  </colFields>
  <colItems count="5">
    <i>
      <x/>
    </i>
    <i>
      <x v="1"/>
    </i>
    <i>
      <x v="2"/>
    </i>
    <i>
      <x v="3"/>
    </i>
    <i t="grand">
      <x/>
    </i>
  </colItems>
  <pageFields count="1">
    <pageField fld="2" hier="-1"/>
  </pageFields>
  <dataFields count="1">
    <dataField name="Total_Sales_Per_Month" fld="7" baseField="0" baseItem="0" numFmtId="165"/>
  </dataFields>
  <formats count="9">
    <format dxfId="32">
      <pivotArea outline="0" fieldPosition="0">
        <references count="1">
          <reference field="3" count="1" selected="0">
            <x v="0"/>
          </reference>
        </references>
      </pivotArea>
    </format>
    <format dxfId="31">
      <pivotArea dataOnly="0" labelOnly="1" outline="0" fieldPosition="0">
        <references count="1">
          <reference field="2" count="0"/>
        </references>
      </pivotArea>
    </format>
    <format dxfId="30">
      <pivotArea field="3" type="button" dataOnly="0" labelOnly="1" outline="0" axis="axisCol" fieldPosition="0"/>
    </format>
    <format dxfId="29">
      <pivotArea dataOnly="0" labelOnly="1" outline="0" fieldPosition="0">
        <references count="1">
          <reference field="3" count="1">
            <x v="0"/>
          </reference>
        </references>
      </pivotArea>
    </format>
    <format dxfId="28">
      <pivotArea outline="0" fieldPosition="0">
        <references count="1">
          <reference field="3" count="1" selected="0">
            <x v="1"/>
          </reference>
        </references>
      </pivotArea>
    </format>
    <format dxfId="27">
      <pivotArea type="topRight" dataOnly="0" labelOnly="1" outline="0" fieldPosition="0"/>
    </format>
    <format dxfId="26">
      <pivotArea dataOnly="0" labelOnly="1" outline="0" fieldPosition="0">
        <references count="1">
          <reference field="3" count="1">
            <x v="1"/>
          </reference>
        </references>
      </pivotArea>
    </format>
    <format dxfId="25">
      <pivotArea outline="0" fieldPosition="0">
        <references count="1">
          <reference field="3" count="1" selected="0">
            <x v="2"/>
          </reference>
        </references>
      </pivotArea>
    </format>
    <format dxfId="24">
      <pivotArea outline="0" fieldPosition="0">
        <references count="1">
          <reference field="3" count="1" selected="0">
            <x v="3"/>
          </reference>
        </references>
      </pivotArea>
    </format>
  </formats>
  <chartFormats count="8">
    <chartFormat chart="0" format="8" series="1">
      <pivotArea type="data" outline="0" fieldPosition="0">
        <references count="2">
          <reference field="4294967294" count="1" selected="0">
            <x v="0"/>
          </reference>
          <reference field="3" count="1" selected="0">
            <x v="0"/>
          </reference>
        </references>
      </pivotArea>
    </chartFormat>
    <chartFormat chart="0" format="9" series="1">
      <pivotArea type="data" outline="0" fieldPosition="0">
        <references count="2">
          <reference field="4294967294" count="1" selected="0">
            <x v="0"/>
          </reference>
          <reference field="3" count="1" selected="0">
            <x v="1"/>
          </reference>
        </references>
      </pivotArea>
    </chartFormat>
    <chartFormat chart="0" format="10" series="1">
      <pivotArea type="data" outline="0" fieldPosition="0">
        <references count="2">
          <reference field="4294967294" count="1" selected="0">
            <x v="0"/>
          </reference>
          <reference field="3" count="1" selected="0">
            <x v="2"/>
          </reference>
        </references>
      </pivotArea>
    </chartFormat>
    <chartFormat chart="0" format="11" series="1">
      <pivotArea type="data" outline="0" fieldPosition="0">
        <references count="2">
          <reference field="4294967294" count="1" selected="0">
            <x v="0"/>
          </reference>
          <reference field="3" count="1" selected="0">
            <x v="3"/>
          </reference>
        </references>
      </pivotArea>
    </chartFormat>
    <chartFormat chart="5" format="16" series="1">
      <pivotArea type="data" outline="0" fieldPosition="0">
        <references count="2">
          <reference field="4294967294" count="1" selected="0">
            <x v="0"/>
          </reference>
          <reference field="3" count="1" selected="0">
            <x v="0"/>
          </reference>
        </references>
      </pivotArea>
    </chartFormat>
    <chartFormat chart="5" format="17" series="1">
      <pivotArea type="data" outline="0" fieldPosition="0">
        <references count="2">
          <reference field="4294967294" count="1" selected="0">
            <x v="0"/>
          </reference>
          <reference field="3" count="1" selected="0">
            <x v="1"/>
          </reference>
        </references>
      </pivotArea>
    </chartFormat>
    <chartFormat chart="5" format="18" series="1">
      <pivotArea type="data" outline="0" fieldPosition="0">
        <references count="2">
          <reference field="4294967294" count="1" selected="0">
            <x v="0"/>
          </reference>
          <reference field="3" count="1" selected="0">
            <x v="2"/>
          </reference>
        </references>
      </pivotArea>
    </chartFormat>
    <chartFormat chart="5" format="19" series="1">
      <pivotArea type="data" outline="0" fieldPosition="0">
        <references count="2">
          <reference field="4294967294" count="1" selected="0">
            <x v="0"/>
          </reference>
          <reference field="3"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EA13EE-1D9D-4125-AE72-2FEF31E80B2A}" autoFormatId="16" applyNumberFormats="0" applyBorderFormats="0" applyFontFormats="0" applyPatternFormats="0" applyAlignmentFormats="0" applyWidthHeightFormats="0">
  <queryTableRefresh nextId="11" unboundColumnsRight="2">
    <queryTableFields count="10">
      <queryTableField id="1" name="Order ID" tableColumnId="1"/>
      <queryTableField id="2" name="Order Date" tableColumnId="2"/>
      <queryTableField id="3" name="Customer Region" tableColumnId="3"/>
      <queryTableField id="4" name="Product Category" tableColumnId="4"/>
      <queryTableField id="5" name="Product Sub-Category" tableColumnId="5"/>
      <queryTableField id="6" name="Units Sold" tableColumnId="6"/>
      <queryTableField id="7" name="Unit Price" tableColumnId="7"/>
      <queryTableField id="8" name="Sales"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B131D11A-9449-4EB1-BB86-2EF6F58F661E}" sourceName="Customer Region">
  <pivotTables>
    <pivotTable tabId="4" name="PivotTable1"/>
  </pivotTables>
  <data>
    <tabular pivotCacheId="95589992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1B62131-C200-45A6-A3B9-78E81ADE45F9}" sourceName="Product Category">
  <pivotTables>
    <pivotTable tabId="4" name="PivotTable1"/>
    <pivotTable tabId="13" name="PivotTable6"/>
  </pivotTables>
  <data>
    <tabular pivotCacheId="95589992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Region" xr10:uid="{E17BA4B7-9953-4A0E-8E7A-A0231A5D59EA}" cache="Slicer_Customer_Region" caption="Customer Region" rowHeight="257175"/>
  <slicer name="Product Category" xr10:uid="{EF9FA5A7-5C3E-46C0-8FE0-F1DA64454007}" cache="Slicer_Product_Category" caption="Product 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B206BC-5BE6-4A48-9113-CD334E07095B}" name="Table1" displayName="Table1" ref="A1:J102" tableType="queryTable" totalsRowShown="0">
  <autoFilter ref="A1:J102" xr:uid="{93B206BC-5BE6-4A48-9113-CD334E07095B}"/>
  <tableColumns count="10">
    <tableColumn id="1" xr3:uid="{8C9FD108-DFBD-4708-8609-2947B36367A4}" uniqueName="1" name="Order ID" queryTableFieldId="1" dataDxfId="46"/>
    <tableColumn id="2" xr3:uid="{BCD49909-CABF-4D78-B120-6FB7FD7CA7D1}" uniqueName="2" name="Order Date" queryTableFieldId="2" dataDxfId="45"/>
    <tableColumn id="3" xr3:uid="{11604BAC-D1C4-4718-94E9-F334F939C891}" uniqueName="3" name="Customer Region" queryTableFieldId="3" dataDxfId="44"/>
    <tableColumn id="4" xr3:uid="{2CD8A665-B20F-4EA9-9289-45FF0A3E42DB}" uniqueName="4" name="Product Category" queryTableFieldId="4" dataDxfId="43"/>
    <tableColumn id="5" xr3:uid="{A54A6F4D-9607-4E8F-BCC0-E36166A71BCA}" uniqueName="5" name="Product Sub-Category" queryTableFieldId="5" dataDxfId="42"/>
    <tableColumn id="6" xr3:uid="{2C982B12-044E-46AE-8583-3597BAF0812C}" uniqueName="6" name="Units Sold" queryTableFieldId="6"/>
    <tableColumn id="7" xr3:uid="{F250F2A8-A6F4-4DE9-AEB7-4797FE5C6F22}" uniqueName="7" name="Unit Price" queryTableFieldId="7" dataDxfId="41"/>
    <tableColumn id="8" xr3:uid="{D0D52C18-4D87-4FF4-9349-317DD6554CAF}" uniqueName="8" name="Total_Sales" queryTableFieldId="8" dataDxfId="40"/>
    <tableColumn id="9" xr3:uid="{81701C95-8D0D-4FCA-BA21-616E1D62940D}" uniqueName="9" name="Target" queryTableFieldId="9" dataDxfId="39"/>
    <tableColumn id="10" xr3:uid="{0D9E524D-DE6F-4793-A373-F647EA0F0DBE}" uniqueName="10" name="Status" queryTableFieldId="10" dataDxfId="38">
      <calculatedColumnFormula>IF(H2&gt;=I2,"On_Target","Below_Target")</calculatedColumnFormula>
    </tableColumn>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0EE2A7-9FE7-4BEB-B9DE-76915B2FB80A}" name="Table2" displayName="Table2" ref="A1:B9" totalsRowShown="0" headerRowDxfId="23">
  <autoFilter ref="A1:B9" xr:uid="{4F0EE2A7-9FE7-4BEB-B9DE-76915B2FB80A}"/>
  <tableColumns count="2">
    <tableColumn id="1" xr3:uid="{0A17DB70-832B-44E5-B97E-781F3EA863B2}" name="Product_Subcategory"/>
    <tableColumn id="2" xr3:uid="{F2B11069-1BB4-4E5F-A068-162C89BE0315}" name="Correct_Categor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D8D3-78D7-49F5-AAD9-8D964AD6425C}">
  <dimension ref="A2:V39"/>
  <sheetViews>
    <sheetView tabSelected="1" workbookViewId="0">
      <selection activeCell="G28" sqref="G28"/>
    </sheetView>
  </sheetViews>
  <sheetFormatPr defaultRowHeight="15" x14ac:dyDescent="0.25"/>
  <cols>
    <col min="2" max="2" width="7.42578125" customWidth="1"/>
    <col min="3" max="3" width="23.140625" customWidth="1"/>
    <col min="4" max="4" width="23.28515625" bestFit="1" customWidth="1"/>
    <col min="5" max="5" width="29.28515625" bestFit="1" customWidth="1"/>
    <col min="6" max="6" width="19.28515625" bestFit="1" customWidth="1"/>
  </cols>
  <sheetData>
    <row r="2" spans="1:22" ht="15" customHeight="1" x14ac:dyDescent="0.25">
      <c r="A2" s="12"/>
      <c r="B2" s="17" t="s">
        <v>140</v>
      </c>
      <c r="C2" s="18"/>
      <c r="D2" s="18"/>
      <c r="E2" s="18"/>
      <c r="F2" s="18"/>
      <c r="G2" s="18"/>
      <c r="H2" s="18"/>
      <c r="I2" s="18"/>
      <c r="J2" s="18"/>
      <c r="K2" s="18"/>
      <c r="L2" s="18"/>
      <c r="M2" s="18"/>
      <c r="N2" s="18"/>
      <c r="O2" s="12"/>
      <c r="P2" s="12"/>
      <c r="Q2" s="12"/>
      <c r="R2" s="12"/>
      <c r="S2" s="12"/>
      <c r="T2" s="12"/>
      <c r="U2" s="12"/>
      <c r="V2" s="12"/>
    </row>
    <row r="3" spans="1:22" x14ac:dyDescent="0.25">
      <c r="A3" s="12" t="s">
        <v>148</v>
      </c>
      <c r="B3" s="12"/>
      <c r="C3" s="12"/>
      <c r="D3" s="12"/>
      <c r="E3" s="12"/>
      <c r="F3" s="12"/>
      <c r="G3" s="12"/>
      <c r="H3" s="12"/>
      <c r="I3" s="12"/>
      <c r="J3" s="12"/>
      <c r="K3" s="12"/>
      <c r="L3" s="12"/>
      <c r="M3" s="12"/>
      <c r="N3" s="12"/>
      <c r="O3" s="12"/>
      <c r="P3" s="12"/>
      <c r="Q3" s="12"/>
      <c r="R3" s="12"/>
      <c r="S3" s="12"/>
      <c r="T3" s="12"/>
      <c r="U3" s="12"/>
      <c r="V3" s="12"/>
    </row>
    <row r="4" spans="1:22" x14ac:dyDescent="0.25">
      <c r="A4" s="12"/>
      <c r="B4" s="12"/>
      <c r="C4" s="12"/>
      <c r="D4" s="12"/>
      <c r="E4" s="12"/>
      <c r="F4" s="12"/>
      <c r="G4" s="12"/>
      <c r="H4" s="12"/>
      <c r="I4" s="12"/>
      <c r="J4" s="12"/>
      <c r="K4" s="12"/>
      <c r="L4" s="12"/>
      <c r="M4" s="12"/>
      <c r="N4" s="12"/>
      <c r="O4" s="12"/>
      <c r="P4" s="12"/>
      <c r="Q4" s="12"/>
      <c r="R4" s="12"/>
      <c r="S4" s="12"/>
      <c r="T4" s="12"/>
      <c r="U4" s="12"/>
      <c r="V4" s="12"/>
    </row>
    <row r="5" spans="1:22" ht="15.75" x14ac:dyDescent="0.25">
      <c r="A5" s="12" t="s">
        <v>188</v>
      </c>
      <c r="B5" s="12"/>
      <c r="C5" s="12"/>
      <c r="D5" s="12"/>
      <c r="E5" s="12"/>
      <c r="F5" s="12"/>
      <c r="G5" s="12"/>
      <c r="H5" s="12"/>
      <c r="I5" s="12"/>
      <c r="J5" s="12"/>
      <c r="K5" s="12"/>
      <c r="L5" s="12"/>
      <c r="M5" s="12"/>
      <c r="N5" s="12"/>
      <c r="O5" s="12"/>
      <c r="P5" s="12"/>
      <c r="Q5" s="12"/>
      <c r="R5" s="12"/>
      <c r="S5" s="12"/>
      <c r="T5" s="12"/>
      <c r="U5" s="12"/>
      <c r="V5" s="12"/>
    </row>
    <row r="6" spans="1:22" ht="15.75" x14ac:dyDescent="0.25">
      <c r="A6" s="12" t="s">
        <v>147</v>
      </c>
      <c r="B6" s="12"/>
      <c r="C6" s="12"/>
      <c r="D6" s="12"/>
      <c r="E6" s="12"/>
      <c r="F6" s="12"/>
      <c r="G6" s="12"/>
      <c r="H6" s="12"/>
      <c r="I6" s="12"/>
      <c r="J6" s="12"/>
      <c r="K6" s="12"/>
      <c r="L6" s="12"/>
      <c r="M6" s="12"/>
      <c r="N6" s="12"/>
      <c r="O6" s="12"/>
      <c r="P6" s="12"/>
      <c r="Q6" s="12"/>
      <c r="R6" s="12"/>
      <c r="S6" s="12"/>
      <c r="T6" s="12"/>
      <c r="U6" s="12"/>
      <c r="V6" s="12"/>
    </row>
    <row r="7" spans="1:22" ht="21" x14ac:dyDescent="0.25">
      <c r="A7" s="13" t="s">
        <v>144</v>
      </c>
      <c r="B7" s="12"/>
      <c r="C7" s="12"/>
      <c r="D7" s="12"/>
      <c r="E7" s="12"/>
      <c r="F7" s="12"/>
      <c r="G7" s="12"/>
      <c r="H7" s="12"/>
      <c r="I7" s="12"/>
      <c r="J7" s="12"/>
      <c r="K7" s="12"/>
      <c r="L7" s="12"/>
      <c r="M7" s="12"/>
      <c r="N7" s="12"/>
      <c r="O7" s="12"/>
      <c r="P7" s="12"/>
      <c r="Q7" s="12"/>
      <c r="R7" s="12"/>
      <c r="S7" s="12"/>
      <c r="T7" s="12"/>
      <c r="U7" s="12"/>
      <c r="V7" s="12"/>
    </row>
    <row r="8" spans="1:22" x14ac:dyDescent="0.25">
      <c r="A8" s="12" t="s">
        <v>145</v>
      </c>
      <c r="B8" s="12"/>
      <c r="C8" s="12"/>
      <c r="D8" s="12"/>
      <c r="E8" s="12"/>
      <c r="F8" s="12"/>
      <c r="G8" s="12"/>
      <c r="H8" s="12"/>
      <c r="I8" s="12"/>
      <c r="J8" s="12"/>
      <c r="K8" s="12"/>
      <c r="L8" s="12"/>
      <c r="M8" s="12"/>
      <c r="N8" s="12"/>
      <c r="O8" s="12"/>
      <c r="P8" s="12"/>
      <c r="Q8" s="12"/>
      <c r="R8" s="12"/>
      <c r="S8" s="12"/>
      <c r="T8" s="12"/>
      <c r="U8" s="12"/>
      <c r="V8" s="12"/>
    </row>
    <row r="9" spans="1:22" x14ac:dyDescent="0.25">
      <c r="A9" s="12" t="s">
        <v>189</v>
      </c>
      <c r="B9" s="12"/>
      <c r="C9" s="12"/>
      <c r="D9" s="12"/>
      <c r="E9" s="12"/>
      <c r="F9" s="12"/>
      <c r="G9" s="12"/>
      <c r="H9" s="12"/>
      <c r="I9" s="12"/>
      <c r="J9" s="12"/>
      <c r="K9" s="12"/>
      <c r="L9" s="12"/>
      <c r="M9" s="12"/>
      <c r="N9" s="12"/>
      <c r="O9" s="12"/>
      <c r="P9" s="12"/>
      <c r="Q9" s="12"/>
      <c r="R9" s="12"/>
      <c r="S9" s="12"/>
      <c r="T9" s="12"/>
      <c r="U9" s="12"/>
      <c r="V9" s="12"/>
    </row>
    <row r="10" spans="1:22" x14ac:dyDescent="0.25">
      <c r="A10" s="12" t="s">
        <v>190</v>
      </c>
      <c r="B10" s="12"/>
      <c r="C10" s="12"/>
      <c r="D10" s="12"/>
      <c r="E10" s="12"/>
      <c r="F10" s="12"/>
      <c r="G10" s="12"/>
      <c r="H10" s="12"/>
      <c r="I10" s="12"/>
      <c r="J10" s="12"/>
      <c r="K10" s="12"/>
      <c r="L10" s="12"/>
      <c r="M10" s="12"/>
      <c r="N10" s="12"/>
      <c r="O10" s="12"/>
      <c r="P10" s="12"/>
      <c r="Q10" s="12"/>
      <c r="R10" s="12"/>
      <c r="S10" s="12"/>
      <c r="T10" s="12"/>
      <c r="U10" s="12"/>
      <c r="V10" s="12"/>
    </row>
    <row r="11" spans="1:22" x14ac:dyDescent="0.25">
      <c r="A11" s="12" t="s">
        <v>146</v>
      </c>
      <c r="B11" s="12"/>
      <c r="C11" s="12"/>
      <c r="D11" s="12"/>
      <c r="E11" s="12"/>
      <c r="F11" s="12"/>
      <c r="G11" s="12"/>
      <c r="H11" s="12"/>
      <c r="I11" s="12"/>
      <c r="J11" s="12"/>
      <c r="K11" s="12"/>
      <c r="L11" s="12"/>
      <c r="M11" s="12"/>
      <c r="N11" s="12"/>
      <c r="O11" s="12"/>
      <c r="P11" s="12"/>
      <c r="Q11" s="12"/>
      <c r="R11" s="12"/>
      <c r="S11" s="12"/>
      <c r="T11" s="12"/>
      <c r="U11" s="12"/>
      <c r="V11" s="12"/>
    </row>
    <row r="12" spans="1:22" x14ac:dyDescent="0.25">
      <c r="A12" s="12"/>
      <c r="B12" s="12"/>
      <c r="C12" s="12"/>
      <c r="D12" s="12"/>
      <c r="E12" s="12"/>
      <c r="F12" s="12"/>
      <c r="G12" s="12"/>
      <c r="H12" s="12"/>
      <c r="I12" s="12"/>
      <c r="J12" s="12"/>
      <c r="K12" s="12"/>
      <c r="L12" s="12"/>
      <c r="M12" s="12"/>
      <c r="N12" s="12"/>
      <c r="O12" s="12"/>
      <c r="P12" s="12"/>
      <c r="Q12" s="12"/>
      <c r="R12" s="12"/>
      <c r="S12" s="12"/>
      <c r="T12" s="12"/>
      <c r="U12" s="12"/>
      <c r="V12" s="12"/>
    </row>
    <row r="13" spans="1:22" ht="15" customHeight="1" x14ac:dyDescent="0.25">
      <c r="A13" s="12"/>
      <c r="B13" s="12"/>
      <c r="C13" s="12"/>
      <c r="D13" s="19" t="s">
        <v>151</v>
      </c>
      <c r="E13" s="19"/>
      <c r="F13" s="19"/>
      <c r="G13" s="12"/>
      <c r="H13" s="12"/>
      <c r="I13" s="12"/>
      <c r="J13" s="12"/>
      <c r="K13" s="12"/>
      <c r="L13" s="12"/>
      <c r="M13" s="12"/>
      <c r="N13" s="12"/>
      <c r="O13" s="12"/>
      <c r="P13" s="12"/>
      <c r="Q13" s="12"/>
      <c r="R13" s="12"/>
      <c r="S13" s="12"/>
      <c r="T13" s="12"/>
      <c r="U13" s="12"/>
      <c r="V13" s="12"/>
    </row>
    <row r="14" spans="1:22" x14ac:dyDescent="0.25">
      <c r="A14" s="12"/>
      <c r="B14" s="12"/>
      <c r="C14" s="12"/>
      <c r="D14" s="15" t="s">
        <v>152</v>
      </c>
      <c r="E14" s="15" t="s">
        <v>153</v>
      </c>
      <c r="F14" s="15" t="s">
        <v>154</v>
      </c>
      <c r="G14" s="12"/>
      <c r="H14" s="12"/>
      <c r="I14" s="12"/>
      <c r="J14" s="12"/>
      <c r="K14" s="12"/>
      <c r="L14" s="12"/>
      <c r="M14" s="12"/>
      <c r="N14" s="12"/>
      <c r="O14" s="12"/>
      <c r="P14" s="12"/>
      <c r="Q14" s="12"/>
      <c r="R14" s="12"/>
      <c r="S14" s="12"/>
      <c r="T14" s="12"/>
      <c r="U14" s="12"/>
      <c r="V14" s="12"/>
    </row>
    <row r="15" spans="1:22" x14ac:dyDescent="0.25">
      <c r="D15" s="8" t="s">
        <v>129</v>
      </c>
      <c r="E15" t="s">
        <v>158</v>
      </c>
      <c r="F15" t="s">
        <v>162</v>
      </c>
    </row>
    <row r="16" spans="1:22" x14ac:dyDescent="0.25">
      <c r="D16" s="8" t="s">
        <v>156</v>
      </c>
      <c r="E16" s="12" t="s">
        <v>159</v>
      </c>
      <c r="F16" t="s">
        <v>162</v>
      </c>
    </row>
    <row r="17" spans="3:6" x14ac:dyDescent="0.25">
      <c r="D17" s="14" t="s">
        <v>155</v>
      </c>
      <c r="E17" s="12" t="s">
        <v>161</v>
      </c>
      <c r="F17" t="s">
        <v>162</v>
      </c>
    </row>
    <row r="18" spans="3:6" x14ac:dyDescent="0.25">
      <c r="D18" s="14" t="s">
        <v>157</v>
      </c>
      <c r="E18" s="12" t="s">
        <v>160</v>
      </c>
      <c r="F18" t="s">
        <v>162</v>
      </c>
    </row>
    <row r="21" spans="3:6" ht="15" customHeight="1" x14ac:dyDescent="0.25">
      <c r="C21" s="18" t="s">
        <v>163</v>
      </c>
      <c r="D21" s="18"/>
      <c r="E21" s="18"/>
      <c r="F21" s="18"/>
    </row>
    <row r="22" spans="3:6" x14ac:dyDescent="0.25">
      <c r="C22" s="8" t="s">
        <v>164</v>
      </c>
      <c r="D22" s="16" t="s">
        <v>165</v>
      </c>
      <c r="E22" s="15" t="s">
        <v>166</v>
      </c>
      <c r="F22" s="8" t="s">
        <v>167</v>
      </c>
    </row>
    <row r="23" spans="3:6" x14ac:dyDescent="0.25">
      <c r="C23" t="s">
        <v>191</v>
      </c>
      <c r="D23" t="s">
        <v>170</v>
      </c>
      <c r="E23" t="s">
        <v>171</v>
      </c>
      <c r="F23" t="s">
        <v>175</v>
      </c>
    </row>
    <row r="24" spans="3:6" x14ac:dyDescent="0.25">
      <c r="C24" t="s">
        <v>169</v>
      </c>
      <c r="D24" t="s">
        <v>171</v>
      </c>
      <c r="E24" t="s">
        <v>2</v>
      </c>
      <c r="F24" t="s">
        <v>174</v>
      </c>
    </row>
    <row r="25" spans="3:6" x14ac:dyDescent="0.25">
      <c r="C25" t="s">
        <v>168</v>
      </c>
      <c r="D25" t="s">
        <v>172</v>
      </c>
      <c r="E25" t="s">
        <v>171</v>
      </c>
      <c r="F25" t="s">
        <v>173</v>
      </c>
    </row>
    <row r="27" spans="3:6" ht="15" customHeight="1" x14ac:dyDescent="0.3">
      <c r="C27" s="21" t="s">
        <v>176</v>
      </c>
      <c r="D27" s="21"/>
      <c r="E27" s="21"/>
      <c r="F27" s="21"/>
    </row>
    <row r="28" spans="3:6" x14ac:dyDescent="0.25">
      <c r="C28" s="8" t="s">
        <v>178</v>
      </c>
      <c r="D28" t="s">
        <v>179</v>
      </c>
    </row>
    <row r="29" spans="3:6" x14ac:dyDescent="0.25">
      <c r="D29" t="s">
        <v>177</v>
      </c>
    </row>
    <row r="31" spans="3:6" ht="18.75" x14ac:dyDescent="0.3">
      <c r="C31" s="21" t="s">
        <v>180</v>
      </c>
      <c r="D31" s="21"/>
    </row>
    <row r="32" spans="3:6" x14ac:dyDescent="0.25">
      <c r="C32" t="s">
        <v>181</v>
      </c>
    </row>
    <row r="33" spans="3:5" x14ac:dyDescent="0.25">
      <c r="C33" t="s">
        <v>182</v>
      </c>
    </row>
    <row r="34" spans="3:5" x14ac:dyDescent="0.25">
      <c r="C34" t="s">
        <v>183</v>
      </c>
    </row>
    <row r="35" spans="3:5" x14ac:dyDescent="0.25">
      <c r="C35" t="s">
        <v>184</v>
      </c>
    </row>
    <row r="37" spans="3:5" x14ac:dyDescent="0.25">
      <c r="D37" s="22" t="s">
        <v>185</v>
      </c>
      <c r="E37" s="23"/>
    </row>
    <row r="38" spans="3:5" x14ac:dyDescent="0.25">
      <c r="D38" s="20" t="s">
        <v>187</v>
      </c>
      <c r="E38" s="20"/>
    </row>
    <row r="39" spans="3:5" x14ac:dyDescent="0.25">
      <c r="D39" s="20" t="s">
        <v>186</v>
      </c>
      <c r="E39" s="20"/>
    </row>
  </sheetData>
  <mergeCells count="8">
    <mergeCell ref="B2:N2"/>
    <mergeCell ref="D13:F13"/>
    <mergeCell ref="D38:E38"/>
    <mergeCell ref="D39:E39"/>
    <mergeCell ref="C31:D31"/>
    <mergeCell ref="C27:F27"/>
    <mergeCell ref="C21:F21"/>
    <mergeCell ref="D37:E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769B0-4141-465C-88FF-27D9200A33E3}">
  <dimension ref="O1:Q10"/>
  <sheetViews>
    <sheetView workbookViewId="0">
      <selection activeCell="O14" sqref="O14"/>
    </sheetView>
  </sheetViews>
  <sheetFormatPr defaultRowHeight="15" x14ac:dyDescent="0.25"/>
  <cols>
    <col min="11" max="11" width="11.85546875" bestFit="1" customWidth="1"/>
    <col min="13" max="13" width="16.85546875" customWidth="1"/>
    <col min="14" max="14" width="11.85546875" customWidth="1"/>
    <col min="15" max="15" width="24.140625" customWidth="1"/>
    <col min="16" max="16" width="15.85546875" customWidth="1"/>
    <col min="17" max="17" width="7.28515625" customWidth="1"/>
    <col min="18" max="18" width="6.7109375" customWidth="1"/>
  </cols>
  <sheetData>
    <row r="1" spans="15:17" ht="15.75" thickBot="1" x14ac:dyDescent="0.3">
      <c r="O1" s="28" t="s">
        <v>138</v>
      </c>
      <c r="P1" s="29"/>
    </row>
    <row r="2" spans="15:17" ht="15.75" thickBot="1" x14ac:dyDescent="0.3">
      <c r="O2" s="29"/>
      <c r="P2" s="29"/>
    </row>
    <row r="3" spans="15:17" ht="15.75" thickBot="1" x14ac:dyDescent="0.3">
      <c r="O3" s="30" t="s">
        <v>129</v>
      </c>
      <c r="P3" s="31">
        <f>SUM(Sales_Data!H2:H102)</f>
        <v>249117.09000000003</v>
      </c>
      <c r="Q3" s="24"/>
    </row>
    <row r="4" spans="15:17" ht="15.75" thickBot="1" x14ac:dyDescent="0.3">
      <c r="O4" s="26"/>
      <c r="P4" s="32"/>
      <c r="Q4" s="24"/>
    </row>
    <row r="5" spans="15:17" ht="15.75" thickBot="1" x14ac:dyDescent="0.3">
      <c r="O5" s="30" t="s">
        <v>142</v>
      </c>
      <c r="P5" s="25">
        <f>AVERAGE(Sales_Data!H2:H102)</f>
        <v>2466.5058415841586</v>
      </c>
    </row>
    <row r="6" spans="15:17" ht="15.75" thickBot="1" x14ac:dyDescent="0.3">
      <c r="O6" s="26"/>
      <c r="P6" s="26"/>
    </row>
    <row r="7" spans="15:17" ht="15.75" thickBot="1" x14ac:dyDescent="0.3">
      <c r="O7" s="30" t="s">
        <v>150</v>
      </c>
      <c r="P7" s="26">
        <f>COUNTIF(Sales_Data!J2:J102,"On_Target")</f>
        <v>32</v>
      </c>
    </row>
    <row r="8" spans="15:17" ht="15.75" thickBot="1" x14ac:dyDescent="0.3">
      <c r="O8" s="26"/>
      <c r="P8" s="26"/>
    </row>
    <row r="9" spans="15:17" ht="15.75" thickBot="1" x14ac:dyDescent="0.3">
      <c r="O9" s="33" t="s">
        <v>143</v>
      </c>
      <c r="P9" s="27">
        <f>SUM(Sales_Data!H2:H102)/SUM(Sales_Data!I2:I102)</f>
        <v>0.82216861386138618</v>
      </c>
    </row>
    <row r="10" spans="15:17" ht="15.75" thickBot="1" x14ac:dyDescent="0.3">
      <c r="O10" s="34"/>
      <c r="P10" s="27"/>
    </row>
  </sheetData>
  <mergeCells count="10">
    <mergeCell ref="Q3:Q4"/>
    <mergeCell ref="P5:P6"/>
    <mergeCell ref="P7:P8"/>
    <mergeCell ref="P9:P10"/>
    <mergeCell ref="O1:P2"/>
    <mergeCell ref="O3:O4"/>
    <mergeCell ref="P3:P4"/>
    <mergeCell ref="O5:O6"/>
    <mergeCell ref="O7:O8"/>
    <mergeCell ref="O9:O10"/>
  </mergeCells>
  <conditionalFormatting sqref="O9:P10">
    <cfRule type="expression" dxfId="22" priority="1">
      <formula>$C$120&lt;100%</formula>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markers="1" high="1" low="1" xr2:uid="{92B0B77A-3EE5-4191-8F4C-12D63073DCE2}">
          <x14:colorSeries rgb="FF323232"/>
          <x14:colorNegative rgb="FFD00000"/>
          <x14:colorAxis rgb="FF000000"/>
          <x14:colorMarkers rgb="FFD00000"/>
          <x14:colorFirst rgb="FFD00000"/>
          <x14:colorLast rgb="FFD00000"/>
          <x14:colorHigh rgb="FFD00000"/>
          <x14:colorLow rgb="FFD00000"/>
          <x14:sparklines>
            <x14:sparkline>
              <xm:f>Pivot_Table_1!$B$6:$B$9</xm:f>
              <xm:sqref>Q3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E777-CEB5-4D0C-99A5-6DEA4C5FEF58}">
  <dimension ref="A1:L126"/>
  <sheetViews>
    <sheetView topLeftCell="A99" workbookViewId="0">
      <selection activeCell="D71" sqref="D71"/>
    </sheetView>
  </sheetViews>
  <sheetFormatPr defaultRowHeight="15" x14ac:dyDescent="0.25"/>
  <cols>
    <col min="1" max="1" width="10.85546875" bestFit="1" customWidth="1"/>
    <col min="2" max="2" width="25" customWidth="1"/>
    <col min="3" max="3" width="12.5703125" customWidth="1"/>
    <col min="4" max="4" width="19" bestFit="1" customWidth="1"/>
    <col min="5" max="5" width="23.28515625" bestFit="1" customWidth="1"/>
    <col min="6" max="6" width="12.42578125" bestFit="1" customWidth="1"/>
    <col min="7" max="7" width="29.85546875" style="9" customWidth="1"/>
    <col min="8" max="8" width="13.85546875" style="9" bestFit="1" customWidth="1"/>
    <col min="9" max="9" width="11.7109375" style="9" bestFit="1" customWidth="1"/>
    <col min="10" max="10" width="12.5703125" bestFit="1" customWidth="1"/>
  </cols>
  <sheetData>
    <row r="1" spans="1:12" x14ac:dyDescent="0.25">
      <c r="A1" t="s">
        <v>0</v>
      </c>
      <c r="B1" t="s">
        <v>1</v>
      </c>
      <c r="C1" t="s">
        <v>2</v>
      </c>
      <c r="D1" t="s">
        <v>3</v>
      </c>
      <c r="E1" t="s">
        <v>4</v>
      </c>
      <c r="F1" t="s">
        <v>5</v>
      </c>
      <c r="G1" s="9" t="s">
        <v>6</v>
      </c>
      <c r="H1" s="9" t="s">
        <v>123</v>
      </c>
      <c r="I1" s="10" t="s">
        <v>124</v>
      </c>
      <c r="J1" t="s">
        <v>128</v>
      </c>
    </row>
    <row r="2" spans="1:12" x14ac:dyDescent="0.25">
      <c r="A2" t="s">
        <v>7</v>
      </c>
      <c r="B2" s="1">
        <v>44927</v>
      </c>
      <c r="C2" t="s">
        <v>8</v>
      </c>
      <c r="D2" t="str">
        <f>VLOOKUP(E2,Lookup_Table!$A$2:$B$9,2,FALSE)</f>
        <v>Sports</v>
      </c>
      <c r="E2" t="s">
        <v>10</v>
      </c>
      <c r="F2">
        <v>2</v>
      </c>
      <c r="G2" s="9">
        <v>458.28</v>
      </c>
      <c r="H2" s="9">
        <f>G2*F2</f>
        <v>916.56</v>
      </c>
      <c r="I2" s="9">
        <v>3000</v>
      </c>
      <c r="J2" s="2" t="str">
        <f t="shared" ref="J2:J33" si="0">IF(H2&gt;=I2,"On_Target","Below_Target")</f>
        <v>Below_Target</v>
      </c>
    </row>
    <row r="3" spans="1:12" x14ac:dyDescent="0.25">
      <c r="A3" t="s">
        <v>11</v>
      </c>
      <c r="B3" s="1">
        <v>44928</v>
      </c>
      <c r="C3" t="s">
        <v>12</v>
      </c>
      <c r="D3" t="str">
        <f>VLOOKUP(E3,Lookup_Table!$A$2:$B$9,2,FALSE)</f>
        <v>Electronics</v>
      </c>
      <c r="E3" t="s">
        <v>13</v>
      </c>
      <c r="F3">
        <v>12</v>
      </c>
      <c r="G3" s="9">
        <v>191.38</v>
      </c>
      <c r="H3" s="9">
        <f t="shared" ref="H3:H66" si="1">G3*F3</f>
        <v>2296.56</v>
      </c>
      <c r="I3" s="9">
        <v>3000</v>
      </c>
      <c r="J3" s="2" t="str">
        <f t="shared" si="0"/>
        <v>Below_Target</v>
      </c>
    </row>
    <row r="4" spans="1:12" x14ac:dyDescent="0.25">
      <c r="A4" t="s">
        <v>14</v>
      </c>
      <c r="B4" s="1">
        <v>44929</v>
      </c>
      <c r="C4" t="s">
        <v>15</v>
      </c>
      <c r="D4" t="str">
        <f>VLOOKUP(E4,Lookup_Table!$A$2:$B$9,2,FALSE)</f>
        <v>Clothing</v>
      </c>
      <c r="E4" t="s">
        <v>17</v>
      </c>
      <c r="F4">
        <v>6</v>
      </c>
      <c r="G4" s="9">
        <v>17.57</v>
      </c>
      <c r="H4" s="9">
        <f>G4*F4</f>
        <v>105.42</v>
      </c>
      <c r="I4" s="9">
        <v>3000</v>
      </c>
      <c r="J4" s="2" t="str">
        <f t="shared" si="0"/>
        <v>Below_Target</v>
      </c>
      <c r="L4" s="9"/>
    </row>
    <row r="5" spans="1:12" x14ac:dyDescent="0.25">
      <c r="A5" t="s">
        <v>18</v>
      </c>
      <c r="B5" s="1">
        <v>44930</v>
      </c>
      <c r="C5" t="s">
        <v>8</v>
      </c>
      <c r="D5" t="str">
        <f>VLOOKUP(E5,Lookup_Table!$A$2:$B$9,2,FALSE)</f>
        <v>Home_&amp;_Kitchen</v>
      </c>
      <c r="E5" t="s">
        <v>19</v>
      </c>
      <c r="F5">
        <v>4</v>
      </c>
      <c r="G5" s="9">
        <v>464.88</v>
      </c>
      <c r="H5" s="9">
        <f t="shared" si="1"/>
        <v>1859.52</v>
      </c>
      <c r="I5" s="9">
        <v>3000</v>
      </c>
      <c r="J5" s="2" t="str">
        <f t="shared" si="0"/>
        <v>Below_Target</v>
      </c>
    </row>
    <row r="6" spans="1:12" x14ac:dyDescent="0.25">
      <c r="A6" t="s">
        <v>20</v>
      </c>
      <c r="B6" s="1">
        <v>44931</v>
      </c>
      <c r="C6" t="s">
        <v>8</v>
      </c>
      <c r="D6" t="str">
        <f>VLOOKUP(E6,Lookup_Table!$A$2:$B$9,2,FALSE)</f>
        <v>Sports</v>
      </c>
      <c r="E6" t="s">
        <v>21</v>
      </c>
      <c r="F6">
        <v>11</v>
      </c>
      <c r="G6" s="9">
        <v>219.81</v>
      </c>
      <c r="H6" s="9">
        <f t="shared" si="1"/>
        <v>2417.91</v>
      </c>
      <c r="I6" s="9">
        <v>3000</v>
      </c>
      <c r="J6" s="2" t="str">
        <f t="shared" si="0"/>
        <v>Below_Target</v>
      </c>
    </row>
    <row r="7" spans="1:12" x14ac:dyDescent="0.25">
      <c r="A7" t="s">
        <v>22</v>
      </c>
      <c r="B7" s="1">
        <v>44932</v>
      </c>
      <c r="C7" t="s">
        <v>12</v>
      </c>
      <c r="D7" t="str">
        <f>VLOOKUP(E7,Lookup_Table!$A$2:$B$9,2,FALSE)</f>
        <v>Clothing</v>
      </c>
      <c r="E7" t="s">
        <v>17</v>
      </c>
      <c r="F7">
        <v>17</v>
      </c>
      <c r="G7" s="9">
        <v>483.66</v>
      </c>
      <c r="H7" s="9">
        <f t="shared" si="1"/>
        <v>8222.2200000000012</v>
      </c>
      <c r="I7" s="9">
        <v>3000</v>
      </c>
      <c r="J7" s="2" t="str">
        <f t="shared" si="0"/>
        <v>On_Target</v>
      </c>
    </row>
    <row r="8" spans="1:12" x14ac:dyDescent="0.25">
      <c r="A8" t="s">
        <v>23</v>
      </c>
      <c r="B8" s="1">
        <v>44933</v>
      </c>
      <c r="C8" t="s">
        <v>15</v>
      </c>
      <c r="D8" t="str">
        <f>VLOOKUP(E8,Lookup_Table!$A$2:$B$9,2,FALSE)</f>
        <v>Home_&amp;_Kitchen</v>
      </c>
      <c r="E8" t="s">
        <v>24</v>
      </c>
      <c r="F8">
        <v>6</v>
      </c>
      <c r="G8" s="9">
        <v>482.17</v>
      </c>
      <c r="H8" s="9">
        <f t="shared" si="1"/>
        <v>2893.02</v>
      </c>
      <c r="I8" s="9">
        <v>3000</v>
      </c>
      <c r="J8" s="2" t="str">
        <f t="shared" si="0"/>
        <v>Below_Target</v>
      </c>
    </row>
    <row r="9" spans="1:12" x14ac:dyDescent="0.25">
      <c r="A9" t="s">
        <v>25</v>
      </c>
      <c r="B9" s="1">
        <v>44934</v>
      </c>
      <c r="C9" t="s">
        <v>15</v>
      </c>
      <c r="D9" t="str">
        <f>VLOOKUP(E9,Lookup_Table!$A$2:$B$9,2,FALSE)</f>
        <v>Home_&amp;_Kitchen</v>
      </c>
      <c r="E9" t="s">
        <v>19</v>
      </c>
      <c r="F9">
        <v>5</v>
      </c>
      <c r="G9" s="9">
        <v>427.97</v>
      </c>
      <c r="H9" s="9">
        <f t="shared" si="1"/>
        <v>2139.8500000000004</v>
      </c>
      <c r="I9" s="9">
        <v>3000</v>
      </c>
      <c r="J9" s="2" t="str">
        <f t="shared" si="0"/>
        <v>Below_Target</v>
      </c>
      <c r="L9" s="9"/>
    </row>
    <row r="10" spans="1:12" x14ac:dyDescent="0.25">
      <c r="A10" t="s">
        <v>26</v>
      </c>
      <c r="B10" s="1">
        <v>44935</v>
      </c>
      <c r="C10" t="s">
        <v>8</v>
      </c>
      <c r="D10" t="str">
        <f>VLOOKUP(E10,Lookup_Table!$A$2:$B$9,2,FALSE)</f>
        <v>Sports</v>
      </c>
      <c r="E10" t="s">
        <v>10</v>
      </c>
      <c r="F10">
        <v>2</v>
      </c>
      <c r="G10" s="9">
        <v>154.28</v>
      </c>
      <c r="H10" s="9">
        <f t="shared" si="1"/>
        <v>308.56</v>
      </c>
      <c r="I10" s="9">
        <v>3000</v>
      </c>
      <c r="J10" s="2" t="str">
        <f t="shared" si="0"/>
        <v>Below_Target</v>
      </c>
    </row>
    <row r="11" spans="1:12" x14ac:dyDescent="0.25">
      <c r="A11" t="s">
        <v>27</v>
      </c>
      <c r="B11" s="1">
        <v>44936</v>
      </c>
      <c r="C11" t="s">
        <v>28</v>
      </c>
      <c r="D11" t="str">
        <f>VLOOKUP(E11,Lookup_Table!$A$2:$B$9,2,FALSE)</f>
        <v>Sports</v>
      </c>
      <c r="E11" t="s">
        <v>10</v>
      </c>
      <c r="F11">
        <v>6</v>
      </c>
      <c r="G11" s="9">
        <v>198.7</v>
      </c>
      <c r="H11" s="9">
        <f t="shared" si="1"/>
        <v>1192.1999999999998</v>
      </c>
      <c r="I11" s="9">
        <v>3000</v>
      </c>
      <c r="J11" s="2" t="str">
        <f t="shared" si="0"/>
        <v>Below_Target</v>
      </c>
    </row>
    <row r="12" spans="1:12" x14ac:dyDescent="0.25">
      <c r="A12" t="s">
        <v>29</v>
      </c>
      <c r="B12" s="1">
        <v>44937</v>
      </c>
      <c r="C12" t="s">
        <v>8</v>
      </c>
      <c r="D12" t="str">
        <f>VLOOKUP(E12,Lookup_Table!$A$2:$B$9,2,FALSE)</f>
        <v>Home_&amp;_Kitchen</v>
      </c>
      <c r="E12" t="s">
        <v>19</v>
      </c>
      <c r="F12">
        <v>11</v>
      </c>
      <c r="G12" s="9">
        <v>427.06</v>
      </c>
      <c r="H12" s="9">
        <f t="shared" si="1"/>
        <v>4697.66</v>
      </c>
      <c r="I12" s="9">
        <v>3000</v>
      </c>
      <c r="J12" s="2" t="str">
        <f t="shared" si="0"/>
        <v>On_Target</v>
      </c>
    </row>
    <row r="13" spans="1:12" x14ac:dyDescent="0.25">
      <c r="A13" t="s">
        <v>30</v>
      </c>
      <c r="B13" s="1">
        <v>44938</v>
      </c>
      <c r="C13" t="s">
        <v>8</v>
      </c>
      <c r="D13" t="str">
        <f>VLOOKUP(E13,Lookup_Table!$A$2:$B$9,2,FALSE)</f>
        <v>Sports</v>
      </c>
      <c r="E13" t="s">
        <v>10</v>
      </c>
      <c r="F13">
        <v>16</v>
      </c>
      <c r="G13" s="9">
        <v>165.29</v>
      </c>
      <c r="H13" s="9">
        <f t="shared" si="1"/>
        <v>2644.64</v>
      </c>
      <c r="I13" s="9">
        <v>3000</v>
      </c>
      <c r="J13" s="2" t="str">
        <f t="shared" si="0"/>
        <v>Below_Target</v>
      </c>
    </row>
    <row r="14" spans="1:12" x14ac:dyDescent="0.25">
      <c r="A14" t="s">
        <v>31</v>
      </c>
      <c r="B14" s="1">
        <v>44939</v>
      </c>
      <c r="C14" t="s">
        <v>8</v>
      </c>
      <c r="D14" t="str">
        <f>VLOOKUP(E14,Lookup_Table!$A$2:$B$9,2,FALSE)</f>
        <v>Clothing</v>
      </c>
      <c r="E14" t="s">
        <v>32</v>
      </c>
      <c r="F14">
        <v>16</v>
      </c>
      <c r="G14" s="9">
        <v>93.05</v>
      </c>
      <c r="H14" s="9">
        <f t="shared" si="1"/>
        <v>1488.8</v>
      </c>
      <c r="I14" s="9">
        <v>3000</v>
      </c>
      <c r="J14" s="2" t="str">
        <f t="shared" si="0"/>
        <v>Below_Target</v>
      </c>
    </row>
    <row r="15" spans="1:12" x14ac:dyDescent="0.25">
      <c r="A15" t="s">
        <v>33</v>
      </c>
      <c r="B15" s="1">
        <v>44940</v>
      </c>
      <c r="C15" t="s">
        <v>8</v>
      </c>
      <c r="D15" t="str">
        <f>VLOOKUP(E15,Lookup_Table!$A$2:$B$9,2,FALSE)</f>
        <v>Home_&amp;_Kitchen</v>
      </c>
      <c r="E15" t="s">
        <v>19</v>
      </c>
      <c r="F15">
        <v>1</v>
      </c>
      <c r="G15" s="9">
        <v>282.83</v>
      </c>
      <c r="H15" s="9">
        <f t="shared" si="1"/>
        <v>282.83</v>
      </c>
      <c r="I15" s="9">
        <v>3000</v>
      </c>
      <c r="J15" s="2" t="str">
        <f t="shared" si="0"/>
        <v>Below_Target</v>
      </c>
    </row>
    <row r="16" spans="1:12" x14ac:dyDescent="0.25">
      <c r="A16" t="s">
        <v>34</v>
      </c>
      <c r="B16" s="1">
        <v>44941</v>
      </c>
      <c r="C16" t="s">
        <v>12</v>
      </c>
      <c r="D16" t="str">
        <f>VLOOKUP(E16,Lookup_Table!$A$2:$B$9,2,FALSE)</f>
        <v>Clothing</v>
      </c>
      <c r="E16" t="s">
        <v>17</v>
      </c>
      <c r="F16">
        <v>9</v>
      </c>
      <c r="G16" s="9">
        <v>468.72</v>
      </c>
      <c r="H16" s="9">
        <f t="shared" si="1"/>
        <v>4218.4800000000005</v>
      </c>
      <c r="I16" s="9">
        <v>3000</v>
      </c>
      <c r="J16" s="2" t="str">
        <f t="shared" si="0"/>
        <v>On_Target</v>
      </c>
    </row>
    <row r="17" spans="1:10" x14ac:dyDescent="0.25">
      <c r="A17" t="s">
        <v>35</v>
      </c>
      <c r="B17" s="1">
        <v>44942</v>
      </c>
      <c r="C17" t="s">
        <v>15</v>
      </c>
      <c r="D17" t="str">
        <f>VLOOKUP(E17,Lookup_Table!$A$2:$B$9,2,FALSE)</f>
        <v>Home_&amp;_Kitchen</v>
      </c>
      <c r="E17" t="s">
        <v>19</v>
      </c>
      <c r="F17">
        <v>6</v>
      </c>
      <c r="G17" s="9">
        <v>351.05</v>
      </c>
      <c r="H17" s="9">
        <f t="shared" si="1"/>
        <v>2106.3000000000002</v>
      </c>
      <c r="I17" s="9">
        <v>3000</v>
      </c>
      <c r="J17" s="2" t="str">
        <f t="shared" si="0"/>
        <v>Below_Target</v>
      </c>
    </row>
    <row r="18" spans="1:10" x14ac:dyDescent="0.25">
      <c r="A18" t="s">
        <v>37</v>
      </c>
      <c r="B18" s="1">
        <v>44943</v>
      </c>
      <c r="C18" t="s">
        <v>12</v>
      </c>
      <c r="D18" t="str">
        <f>VLOOKUP(E18,Lookup_Table!$A$2:$B$9,2,FALSE)</f>
        <v>Sports</v>
      </c>
      <c r="E18" t="s">
        <v>21</v>
      </c>
      <c r="F18">
        <v>16</v>
      </c>
      <c r="G18" s="9">
        <v>289.33</v>
      </c>
      <c r="H18" s="9">
        <f t="shared" si="1"/>
        <v>4629.28</v>
      </c>
      <c r="I18" s="9">
        <v>3000</v>
      </c>
      <c r="J18" s="2" t="str">
        <f t="shared" si="0"/>
        <v>On_Target</v>
      </c>
    </row>
    <row r="19" spans="1:10" x14ac:dyDescent="0.25">
      <c r="A19" t="s">
        <v>38</v>
      </c>
      <c r="B19" s="1">
        <v>44944</v>
      </c>
      <c r="C19" t="s">
        <v>12</v>
      </c>
      <c r="D19" t="str">
        <f>VLOOKUP(E19,Lookup_Table!$A$2:$B$9,2,FALSE)</f>
        <v>Sports</v>
      </c>
      <c r="E19" t="s">
        <v>10</v>
      </c>
      <c r="F19">
        <v>3</v>
      </c>
      <c r="G19" s="9">
        <v>57.62</v>
      </c>
      <c r="H19" s="9">
        <f t="shared" si="1"/>
        <v>172.85999999999999</v>
      </c>
      <c r="I19" s="9">
        <v>3000</v>
      </c>
      <c r="J19" s="2" t="str">
        <f t="shared" si="0"/>
        <v>Below_Target</v>
      </c>
    </row>
    <row r="20" spans="1:10" x14ac:dyDescent="0.25">
      <c r="A20" t="s">
        <v>39</v>
      </c>
      <c r="B20" s="1">
        <v>44945</v>
      </c>
      <c r="C20" t="s">
        <v>12</v>
      </c>
      <c r="D20" t="str">
        <f>VLOOKUP(E20,Lookup_Table!$A$2:$B$9,2,FALSE)</f>
        <v>Clothing</v>
      </c>
      <c r="E20" t="s">
        <v>32</v>
      </c>
      <c r="F20">
        <v>4</v>
      </c>
      <c r="G20" s="9">
        <v>311.35000000000002</v>
      </c>
      <c r="H20" s="9">
        <f t="shared" si="1"/>
        <v>1245.4000000000001</v>
      </c>
      <c r="I20" s="9">
        <v>3000</v>
      </c>
      <c r="J20" s="2" t="str">
        <f t="shared" si="0"/>
        <v>Below_Target</v>
      </c>
    </row>
    <row r="21" spans="1:10" x14ac:dyDescent="0.25">
      <c r="A21" t="s">
        <v>40</v>
      </c>
      <c r="B21" s="1">
        <v>44946</v>
      </c>
      <c r="C21" t="s">
        <v>8</v>
      </c>
      <c r="D21" t="str">
        <f>VLOOKUP(E21,Lookup_Table!$A$2:$B$9,2,FALSE)</f>
        <v>Clothing</v>
      </c>
      <c r="E21" t="s">
        <v>32</v>
      </c>
      <c r="F21">
        <v>19</v>
      </c>
      <c r="G21" s="9">
        <v>495.13</v>
      </c>
      <c r="H21" s="9">
        <f t="shared" si="1"/>
        <v>9407.4699999999993</v>
      </c>
      <c r="I21" s="9">
        <v>3000</v>
      </c>
      <c r="J21" s="2" t="str">
        <f t="shared" si="0"/>
        <v>On_Target</v>
      </c>
    </row>
    <row r="22" spans="1:10" x14ac:dyDescent="0.25">
      <c r="A22" t="s">
        <v>41</v>
      </c>
      <c r="B22" s="1">
        <v>44947</v>
      </c>
      <c r="C22" t="s">
        <v>28</v>
      </c>
      <c r="D22" t="str">
        <f>VLOOKUP(E22,Lookup_Table!$A$2:$B$9,2,FALSE)</f>
        <v>Home_&amp;_Kitchen</v>
      </c>
      <c r="E22" t="s">
        <v>24</v>
      </c>
      <c r="F22">
        <v>3</v>
      </c>
      <c r="G22" s="9">
        <v>78.64</v>
      </c>
      <c r="H22" s="9">
        <f t="shared" si="1"/>
        <v>235.92000000000002</v>
      </c>
      <c r="I22" s="9">
        <v>3000</v>
      </c>
      <c r="J22" s="2" t="str">
        <f t="shared" si="0"/>
        <v>Below_Target</v>
      </c>
    </row>
    <row r="23" spans="1:10" x14ac:dyDescent="0.25">
      <c r="A23" t="s">
        <v>42</v>
      </c>
      <c r="B23" s="1">
        <v>44948</v>
      </c>
      <c r="C23" t="s">
        <v>15</v>
      </c>
      <c r="D23" t="str">
        <f>VLOOKUP(E23,Lookup_Table!$A$2:$B$9,2,FALSE)</f>
        <v>Clothing</v>
      </c>
      <c r="E23" t="s">
        <v>17</v>
      </c>
      <c r="F23">
        <v>19</v>
      </c>
      <c r="G23" s="9">
        <v>263.98</v>
      </c>
      <c r="H23" s="9">
        <f t="shared" si="1"/>
        <v>5015.6200000000008</v>
      </c>
      <c r="I23" s="9">
        <v>3000</v>
      </c>
      <c r="J23" s="2" t="str">
        <f t="shared" si="0"/>
        <v>On_Target</v>
      </c>
    </row>
    <row r="24" spans="1:10" x14ac:dyDescent="0.25">
      <c r="A24" t="s">
        <v>43</v>
      </c>
      <c r="B24" s="1">
        <v>44949</v>
      </c>
      <c r="C24" t="s">
        <v>28</v>
      </c>
      <c r="D24" t="str">
        <f>VLOOKUP(E24,Lookup_Table!$A$2:$B$9,2,FALSE)</f>
        <v>Electronics</v>
      </c>
      <c r="E24" t="s">
        <v>44</v>
      </c>
      <c r="F24">
        <v>7</v>
      </c>
      <c r="G24" s="9">
        <v>439.91</v>
      </c>
      <c r="H24" s="9">
        <f t="shared" si="1"/>
        <v>3079.3700000000003</v>
      </c>
      <c r="I24" s="9">
        <v>3000</v>
      </c>
      <c r="J24" s="2" t="str">
        <f t="shared" si="0"/>
        <v>On_Target</v>
      </c>
    </row>
    <row r="25" spans="1:10" x14ac:dyDescent="0.25">
      <c r="A25" t="s">
        <v>45</v>
      </c>
      <c r="B25" s="1">
        <v>44950</v>
      </c>
      <c r="C25" t="s">
        <v>12</v>
      </c>
      <c r="D25" t="str">
        <f>VLOOKUP(E25,Lookup_Table!$A$2:$B$9,2,FALSE)</f>
        <v>Electronics</v>
      </c>
      <c r="E25" t="s">
        <v>44</v>
      </c>
      <c r="F25">
        <v>9</v>
      </c>
      <c r="G25" s="9">
        <v>372.98</v>
      </c>
      <c r="H25" s="9">
        <f t="shared" si="1"/>
        <v>3356.82</v>
      </c>
      <c r="I25" s="9">
        <v>3000</v>
      </c>
      <c r="J25" s="2" t="str">
        <f t="shared" si="0"/>
        <v>On_Target</v>
      </c>
    </row>
    <row r="26" spans="1:10" x14ac:dyDescent="0.25">
      <c r="A26" t="s">
        <v>46</v>
      </c>
      <c r="B26" s="1">
        <v>44951</v>
      </c>
      <c r="C26" t="s">
        <v>12</v>
      </c>
      <c r="D26" t="str">
        <f>VLOOKUP(E26,Lookup_Table!$A$2:$B$9,2,FALSE)</f>
        <v>Home_&amp;_Kitchen</v>
      </c>
      <c r="E26" t="s">
        <v>19</v>
      </c>
      <c r="F26">
        <v>1</v>
      </c>
      <c r="G26" s="9">
        <v>351.54</v>
      </c>
      <c r="H26" s="9">
        <f t="shared" si="1"/>
        <v>351.54</v>
      </c>
      <c r="I26" s="9">
        <v>3000</v>
      </c>
      <c r="J26" s="2" t="str">
        <f t="shared" si="0"/>
        <v>Below_Target</v>
      </c>
    </row>
    <row r="27" spans="1:10" x14ac:dyDescent="0.25">
      <c r="A27" t="s">
        <v>47</v>
      </c>
      <c r="B27" s="1">
        <v>44952</v>
      </c>
      <c r="C27" t="s">
        <v>28</v>
      </c>
      <c r="D27" t="str">
        <f>VLOOKUP(E27,Lookup_Table!$A$2:$B$9,2,FALSE)</f>
        <v>Home_&amp;_Kitchen</v>
      </c>
      <c r="E27" t="s">
        <v>24</v>
      </c>
      <c r="F27">
        <v>8</v>
      </c>
      <c r="G27" s="9">
        <v>354.22</v>
      </c>
      <c r="H27" s="9">
        <f t="shared" si="1"/>
        <v>2833.76</v>
      </c>
      <c r="I27" s="9">
        <v>3000</v>
      </c>
      <c r="J27" s="2" t="str">
        <f t="shared" si="0"/>
        <v>Below_Target</v>
      </c>
    </row>
    <row r="28" spans="1:10" x14ac:dyDescent="0.25">
      <c r="A28" t="s">
        <v>48</v>
      </c>
      <c r="B28" s="1">
        <v>44953</v>
      </c>
      <c r="C28" t="s">
        <v>28</v>
      </c>
      <c r="D28" t="str">
        <f>VLOOKUP(E28,Lookup_Table!$A$2:$B$9,2,FALSE)</f>
        <v>Electronics</v>
      </c>
      <c r="E28" t="s">
        <v>13</v>
      </c>
      <c r="F28">
        <v>7</v>
      </c>
      <c r="G28" s="9">
        <v>186.15</v>
      </c>
      <c r="H28" s="9">
        <f t="shared" si="1"/>
        <v>1303.05</v>
      </c>
      <c r="I28" s="9">
        <v>3000</v>
      </c>
      <c r="J28" s="2" t="str">
        <f t="shared" si="0"/>
        <v>Below_Target</v>
      </c>
    </row>
    <row r="29" spans="1:10" x14ac:dyDescent="0.25">
      <c r="A29" t="s">
        <v>49</v>
      </c>
      <c r="B29" s="1">
        <v>44954</v>
      </c>
      <c r="C29" t="s">
        <v>28</v>
      </c>
      <c r="D29" t="str">
        <f>VLOOKUP(E29,Lookup_Table!$A$2:$B$9,2,FALSE)</f>
        <v>Home_&amp;_Kitchen</v>
      </c>
      <c r="E29" t="s">
        <v>19</v>
      </c>
      <c r="F29">
        <v>18</v>
      </c>
      <c r="G29" s="9">
        <v>153.86000000000001</v>
      </c>
      <c r="H29" s="9">
        <f t="shared" si="1"/>
        <v>2769.4800000000005</v>
      </c>
      <c r="I29" s="9">
        <v>3000</v>
      </c>
      <c r="J29" s="2" t="str">
        <f t="shared" si="0"/>
        <v>Below_Target</v>
      </c>
    </row>
    <row r="30" spans="1:10" x14ac:dyDescent="0.25">
      <c r="A30" t="s">
        <v>50</v>
      </c>
      <c r="B30" s="1">
        <v>44955</v>
      </c>
      <c r="C30" t="s">
        <v>12</v>
      </c>
      <c r="D30" t="str">
        <f>VLOOKUP(E30,Lookup_Table!$A$2:$B$9,2,FALSE)</f>
        <v>Home_&amp;_Kitchen</v>
      </c>
      <c r="E30" t="s">
        <v>24</v>
      </c>
      <c r="F30">
        <v>8</v>
      </c>
      <c r="G30" s="9">
        <v>406.59</v>
      </c>
      <c r="H30" s="9">
        <f t="shared" si="1"/>
        <v>3252.72</v>
      </c>
      <c r="I30" s="9">
        <v>3000</v>
      </c>
      <c r="J30" s="2" t="str">
        <f t="shared" si="0"/>
        <v>On_Target</v>
      </c>
    </row>
    <row r="31" spans="1:10" x14ac:dyDescent="0.25">
      <c r="A31" t="s">
        <v>51</v>
      </c>
      <c r="B31" s="1">
        <v>44956</v>
      </c>
      <c r="C31" t="s">
        <v>12</v>
      </c>
      <c r="D31" t="str">
        <f>VLOOKUP(E31,Lookup_Table!$A$2:$B$9,2,FALSE)</f>
        <v>Clothing</v>
      </c>
      <c r="E31" t="s">
        <v>17</v>
      </c>
      <c r="F31">
        <v>1</v>
      </c>
      <c r="G31" s="9">
        <v>406.96</v>
      </c>
      <c r="H31" s="9">
        <f t="shared" si="1"/>
        <v>406.96</v>
      </c>
      <c r="I31" s="9">
        <v>3000</v>
      </c>
      <c r="J31" s="2" t="str">
        <f t="shared" si="0"/>
        <v>Below_Target</v>
      </c>
    </row>
    <row r="32" spans="1:10" x14ac:dyDescent="0.25">
      <c r="A32" t="s">
        <v>52</v>
      </c>
      <c r="B32" s="1">
        <v>44957</v>
      </c>
      <c r="C32" t="s">
        <v>15</v>
      </c>
      <c r="D32" t="str">
        <f>VLOOKUP(E32,Lookup_Table!$A$2:$B$9,2,FALSE)</f>
        <v>Clothing</v>
      </c>
      <c r="E32" t="s">
        <v>17</v>
      </c>
      <c r="F32">
        <v>11</v>
      </c>
      <c r="G32" s="9">
        <v>434.87</v>
      </c>
      <c r="H32" s="9">
        <f t="shared" si="1"/>
        <v>4783.57</v>
      </c>
      <c r="I32" s="9">
        <v>3000</v>
      </c>
      <c r="J32" s="2" t="str">
        <f t="shared" si="0"/>
        <v>On_Target</v>
      </c>
    </row>
    <row r="33" spans="1:10" x14ac:dyDescent="0.25">
      <c r="A33" t="s">
        <v>53</v>
      </c>
      <c r="B33" s="1">
        <v>44958</v>
      </c>
      <c r="C33" t="s">
        <v>15</v>
      </c>
      <c r="D33" t="str">
        <f>VLOOKUP(E33,Lookup_Table!$A$2:$B$9,2,FALSE)</f>
        <v>Clothing</v>
      </c>
      <c r="E33" t="s">
        <v>17</v>
      </c>
      <c r="F33">
        <v>18</v>
      </c>
      <c r="G33" s="9">
        <v>457.49</v>
      </c>
      <c r="H33" s="9">
        <f t="shared" si="1"/>
        <v>8234.82</v>
      </c>
      <c r="I33" s="9">
        <v>3000</v>
      </c>
      <c r="J33" s="2" t="str">
        <f t="shared" si="0"/>
        <v>On_Target</v>
      </c>
    </row>
    <row r="34" spans="1:10" x14ac:dyDescent="0.25">
      <c r="A34" t="s">
        <v>54</v>
      </c>
      <c r="B34" s="1">
        <v>44959</v>
      </c>
      <c r="C34" t="s">
        <v>12</v>
      </c>
      <c r="D34" t="str">
        <f>VLOOKUP(E34,Lookup_Table!$A$2:$B$9,2,FALSE)</f>
        <v>Clothing</v>
      </c>
      <c r="E34" t="s">
        <v>17</v>
      </c>
      <c r="F34">
        <v>10</v>
      </c>
      <c r="G34" s="9">
        <v>260.56</v>
      </c>
      <c r="H34" s="9">
        <f t="shared" si="1"/>
        <v>2605.6</v>
      </c>
      <c r="I34" s="9">
        <v>3000</v>
      </c>
      <c r="J34" s="2" t="str">
        <f t="shared" ref="J34:J65" si="2">IF(H34&gt;=I34,"On_Target","Below_Target")</f>
        <v>Below_Target</v>
      </c>
    </row>
    <row r="35" spans="1:10" x14ac:dyDescent="0.25">
      <c r="A35" t="s">
        <v>55</v>
      </c>
      <c r="B35" s="1">
        <v>44960</v>
      </c>
      <c r="C35" t="s">
        <v>28</v>
      </c>
      <c r="D35" t="str">
        <f>VLOOKUP(E35,Lookup_Table!$A$2:$B$9,2,FALSE)</f>
        <v>Clothing</v>
      </c>
      <c r="E35" t="s">
        <v>17</v>
      </c>
      <c r="F35">
        <v>3</v>
      </c>
      <c r="G35" s="9">
        <v>255.74</v>
      </c>
      <c r="H35" s="9">
        <f t="shared" si="1"/>
        <v>767.22</v>
      </c>
      <c r="I35" s="9">
        <v>3000</v>
      </c>
      <c r="J35" s="2" t="str">
        <f t="shared" si="2"/>
        <v>Below_Target</v>
      </c>
    </row>
    <row r="36" spans="1:10" x14ac:dyDescent="0.25">
      <c r="A36" t="s">
        <v>56</v>
      </c>
      <c r="B36" s="1">
        <v>44961</v>
      </c>
      <c r="C36" t="s">
        <v>28</v>
      </c>
      <c r="D36" t="str">
        <f>VLOOKUP(E36,Lookup_Table!$A$2:$B$9,2,FALSE)</f>
        <v>Home_&amp;_Kitchen</v>
      </c>
      <c r="E36" t="s">
        <v>24</v>
      </c>
      <c r="F36">
        <v>7</v>
      </c>
      <c r="G36" s="9">
        <v>401.16</v>
      </c>
      <c r="H36" s="9">
        <f t="shared" si="1"/>
        <v>2808.1200000000003</v>
      </c>
      <c r="I36" s="9">
        <v>3000</v>
      </c>
      <c r="J36" s="2" t="str">
        <f t="shared" si="2"/>
        <v>Below_Target</v>
      </c>
    </row>
    <row r="37" spans="1:10" x14ac:dyDescent="0.25">
      <c r="A37" t="s">
        <v>57</v>
      </c>
      <c r="B37" s="1">
        <v>44962</v>
      </c>
      <c r="C37" t="s">
        <v>15</v>
      </c>
      <c r="D37" t="str">
        <f>VLOOKUP(E37,Lookup_Table!$A$2:$B$9,2,FALSE)</f>
        <v>Home_&amp;_Kitchen</v>
      </c>
      <c r="E37" t="s">
        <v>24</v>
      </c>
      <c r="F37">
        <v>16</v>
      </c>
      <c r="G37" s="9">
        <v>328.48</v>
      </c>
      <c r="H37" s="9">
        <f t="shared" si="1"/>
        <v>5255.68</v>
      </c>
      <c r="I37" s="9">
        <v>3000</v>
      </c>
      <c r="J37" s="2" t="str">
        <f t="shared" si="2"/>
        <v>On_Target</v>
      </c>
    </row>
    <row r="38" spans="1:10" x14ac:dyDescent="0.25">
      <c r="A38" t="s">
        <v>58</v>
      </c>
      <c r="B38" s="1">
        <v>44963</v>
      </c>
      <c r="C38" t="s">
        <v>12</v>
      </c>
      <c r="D38" t="str">
        <f>VLOOKUP(E38,Lookup_Table!$A$2:$B$9,2,FALSE)</f>
        <v>Clothing</v>
      </c>
      <c r="E38" t="s">
        <v>32</v>
      </c>
      <c r="F38">
        <v>16</v>
      </c>
      <c r="G38" s="9">
        <v>353.96</v>
      </c>
      <c r="H38" s="9">
        <f t="shared" si="1"/>
        <v>5663.36</v>
      </c>
      <c r="I38" s="9">
        <v>3000</v>
      </c>
      <c r="J38" s="2" t="str">
        <f t="shared" si="2"/>
        <v>On_Target</v>
      </c>
    </row>
    <row r="39" spans="1:10" x14ac:dyDescent="0.25">
      <c r="A39" t="s">
        <v>59</v>
      </c>
      <c r="B39" s="1">
        <v>44964</v>
      </c>
      <c r="C39" t="s">
        <v>15</v>
      </c>
      <c r="D39" t="str">
        <f>VLOOKUP(E39,Lookup_Table!$A$2:$B$9,2,FALSE)</f>
        <v>Sports</v>
      </c>
      <c r="E39" t="s">
        <v>21</v>
      </c>
      <c r="F39">
        <v>17</v>
      </c>
      <c r="G39" s="9">
        <v>399.94</v>
      </c>
      <c r="H39" s="9">
        <f t="shared" si="1"/>
        <v>6798.98</v>
      </c>
      <c r="I39" s="9">
        <v>3000</v>
      </c>
      <c r="J39" s="2" t="str">
        <f t="shared" si="2"/>
        <v>On_Target</v>
      </c>
    </row>
    <row r="40" spans="1:10" x14ac:dyDescent="0.25">
      <c r="A40" t="s">
        <v>60</v>
      </c>
      <c r="B40" s="1">
        <v>44965</v>
      </c>
      <c r="C40" t="s">
        <v>15</v>
      </c>
      <c r="D40" t="str">
        <f>VLOOKUP(E40,Lookup_Table!$A$2:$B$9,2,FALSE)</f>
        <v>Electronics</v>
      </c>
      <c r="E40" t="s">
        <v>44</v>
      </c>
      <c r="F40">
        <v>2</v>
      </c>
      <c r="G40" s="9">
        <v>446.1</v>
      </c>
      <c r="H40" s="9">
        <f t="shared" si="1"/>
        <v>892.2</v>
      </c>
      <c r="I40" s="9">
        <v>3000</v>
      </c>
      <c r="J40" s="2" t="str">
        <f t="shared" si="2"/>
        <v>Below_Target</v>
      </c>
    </row>
    <row r="41" spans="1:10" x14ac:dyDescent="0.25">
      <c r="A41" t="s">
        <v>61</v>
      </c>
      <c r="B41" s="1">
        <v>44966</v>
      </c>
      <c r="C41" t="s">
        <v>8</v>
      </c>
      <c r="D41" t="str">
        <f>VLOOKUP(E41,Lookup_Table!$A$2:$B$9,2,FALSE)</f>
        <v>Sports</v>
      </c>
      <c r="E41" t="s">
        <v>10</v>
      </c>
      <c r="F41">
        <v>1</v>
      </c>
      <c r="G41" s="9">
        <v>175.62</v>
      </c>
      <c r="H41" s="9">
        <f t="shared" si="1"/>
        <v>175.62</v>
      </c>
      <c r="I41" s="9">
        <v>3000</v>
      </c>
      <c r="J41" s="2" t="str">
        <f t="shared" si="2"/>
        <v>Below_Target</v>
      </c>
    </row>
    <row r="42" spans="1:10" x14ac:dyDescent="0.25">
      <c r="A42" t="s">
        <v>62</v>
      </c>
      <c r="B42" s="1">
        <v>44967</v>
      </c>
      <c r="C42" t="s">
        <v>8</v>
      </c>
      <c r="D42" t="str">
        <f>VLOOKUP(E42,Lookup_Table!$A$2:$B$9,2,FALSE)</f>
        <v>Clothing</v>
      </c>
      <c r="E42" t="s">
        <v>17</v>
      </c>
      <c r="F42">
        <v>16</v>
      </c>
      <c r="G42" s="9">
        <v>194.04</v>
      </c>
      <c r="H42" s="9">
        <f t="shared" si="1"/>
        <v>3104.64</v>
      </c>
      <c r="I42" s="9">
        <v>3000</v>
      </c>
      <c r="J42" s="2" t="str">
        <f t="shared" si="2"/>
        <v>On_Target</v>
      </c>
    </row>
    <row r="43" spans="1:10" x14ac:dyDescent="0.25">
      <c r="A43" t="s">
        <v>63</v>
      </c>
      <c r="B43" s="1">
        <v>44968</v>
      </c>
      <c r="C43" t="s">
        <v>8</v>
      </c>
      <c r="D43" t="str">
        <f>VLOOKUP(E43,Lookup_Table!$A$2:$B$9,2,FALSE)</f>
        <v>Electronics</v>
      </c>
      <c r="E43" t="s">
        <v>13</v>
      </c>
      <c r="F43">
        <v>12</v>
      </c>
      <c r="G43" s="9">
        <v>56.05</v>
      </c>
      <c r="H43" s="9">
        <f t="shared" si="1"/>
        <v>672.59999999999991</v>
      </c>
      <c r="I43" s="9">
        <v>3000</v>
      </c>
      <c r="J43" s="2" t="str">
        <f t="shared" si="2"/>
        <v>Below_Target</v>
      </c>
    </row>
    <row r="44" spans="1:10" x14ac:dyDescent="0.25">
      <c r="A44" t="s">
        <v>64</v>
      </c>
      <c r="B44" s="1">
        <v>44969</v>
      </c>
      <c r="C44" t="s">
        <v>28</v>
      </c>
      <c r="D44" t="str">
        <f>VLOOKUP(E44,Lookup_Table!$A$2:$B$9,2,FALSE)</f>
        <v>Sports</v>
      </c>
      <c r="E44" t="s">
        <v>10</v>
      </c>
      <c r="F44">
        <v>5</v>
      </c>
      <c r="G44" s="9">
        <v>293.36</v>
      </c>
      <c r="H44" s="9">
        <f t="shared" si="1"/>
        <v>1466.8000000000002</v>
      </c>
      <c r="I44" s="9">
        <v>3000</v>
      </c>
      <c r="J44" s="2" t="str">
        <f t="shared" si="2"/>
        <v>Below_Target</v>
      </c>
    </row>
    <row r="45" spans="1:10" x14ac:dyDescent="0.25">
      <c r="A45" t="s">
        <v>65</v>
      </c>
      <c r="B45" s="1">
        <v>44970</v>
      </c>
      <c r="C45" t="s">
        <v>12</v>
      </c>
      <c r="D45" t="str">
        <f>VLOOKUP(E45,Lookup_Table!$A$2:$B$9,2,FALSE)</f>
        <v>Home_&amp;_Kitchen</v>
      </c>
      <c r="E45" t="s">
        <v>24</v>
      </c>
      <c r="F45">
        <v>5</v>
      </c>
      <c r="G45" s="9">
        <v>27.61</v>
      </c>
      <c r="H45" s="9">
        <f t="shared" si="1"/>
        <v>138.05000000000001</v>
      </c>
      <c r="I45" s="9">
        <v>3000</v>
      </c>
      <c r="J45" s="2" t="str">
        <f t="shared" si="2"/>
        <v>Below_Target</v>
      </c>
    </row>
    <row r="46" spans="1:10" x14ac:dyDescent="0.25">
      <c r="A46" t="s">
        <v>66</v>
      </c>
      <c r="B46" s="1">
        <v>44971</v>
      </c>
      <c r="C46" t="s">
        <v>12</v>
      </c>
      <c r="D46" t="str">
        <f>VLOOKUP(E46,Lookup_Table!$A$2:$B$9,2,FALSE)</f>
        <v>Electronics</v>
      </c>
      <c r="E46" t="s">
        <v>13</v>
      </c>
      <c r="F46">
        <v>9</v>
      </c>
      <c r="G46" s="9">
        <v>238.14</v>
      </c>
      <c r="H46" s="9">
        <f t="shared" si="1"/>
        <v>2143.2599999999998</v>
      </c>
      <c r="I46" s="9">
        <v>3000</v>
      </c>
      <c r="J46" s="2" t="str">
        <f t="shared" si="2"/>
        <v>Below_Target</v>
      </c>
    </row>
    <row r="47" spans="1:10" x14ac:dyDescent="0.25">
      <c r="A47" t="s">
        <v>67</v>
      </c>
      <c r="B47" s="1">
        <v>44972</v>
      </c>
      <c r="C47" t="s">
        <v>12</v>
      </c>
      <c r="D47" t="str">
        <f>VLOOKUP(E47,Lookup_Table!$A$2:$B$9,2,FALSE)</f>
        <v>Electronics</v>
      </c>
      <c r="E47" t="s">
        <v>13</v>
      </c>
      <c r="F47">
        <v>9</v>
      </c>
      <c r="G47" s="9">
        <v>275.89999999999998</v>
      </c>
      <c r="H47" s="9">
        <f t="shared" si="1"/>
        <v>2483.1</v>
      </c>
      <c r="I47" s="9">
        <v>3000</v>
      </c>
      <c r="J47" s="2" t="str">
        <f t="shared" si="2"/>
        <v>Below_Target</v>
      </c>
    </row>
    <row r="48" spans="1:10" x14ac:dyDescent="0.25">
      <c r="A48" t="s">
        <v>68</v>
      </c>
      <c r="B48" s="1">
        <v>44973</v>
      </c>
      <c r="C48" t="s">
        <v>12</v>
      </c>
      <c r="D48" t="str">
        <f>VLOOKUP(E48,Lookup_Table!$A$2:$B$9,2,FALSE)</f>
        <v>Electronics</v>
      </c>
      <c r="E48" t="s">
        <v>13</v>
      </c>
      <c r="F48">
        <v>3</v>
      </c>
      <c r="G48" s="9">
        <v>150.41</v>
      </c>
      <c r="H48" s="9">
        <f t="shared" si="1"/>
        <v>451.23</v>
      </c>
      <c r="I48" s="9">
        <v>3000</v>
      </c>
      <c r="J48" s="2" t="str">
        <f t="shared" si="2"/>
        <v>Below_Target</v>
      </c>
    </row>
    <row r="49" spans="1:10" x14ac:dyDescent="0.25">
      <c r="A49" t="s">
        <v>69</v>
      </c>
      <c r="B49" s="1">
        <v>44974</v>
      </c>
      <c r="C49" t="s">
        <v>8</v>
      </c>
      <c r="D49" t="str">
        <f>VLOOKUP(E49,Lookup_Table!$A$2:$B$9,2,FALSE)</f>
        <v>Clothing</v>
      </c>
      <c r="E49" t="s">
        <v>32</v>
      </c>
      <c r="F49">
        <v>19</v>
      </c>
      <c r="G49" s="9">
        <v>299.51</v>
      </c>
      <c r="H49" s="9">
        <f t="shared" si="1"/>
        <v>5690.69</v>
      </c>
      <c r="I49" s="9">
        <v>3000</v>
      </c>
      <c r="J49" s="2" t="str">
        <f t="shared" si="2"/>
        <v>On_Target</v>
      </c>
    </row>
    <row r="50" spans="1:10" x14ac:dyDescent="0.25">
      <c r="A50" t="s">
        <v>70</v>
      </c>
      <c r="B50" s="1">
        <v>44975</v>
      </c>
      <c r="C50" t="s">
        <v>28</v>
      </c>
      <c r="D50" t="str">
        <f>VLOOKUP(E50,Lookup_Table!$A$2:$B$9,2,FALSE)</f>
        <v>Home_&amp;_Kitchen</v>
      </c>
      <c r="E50" t="s">
        <v>24</v>
      </c>
      <c r="F50">
        <v>16</v>
      </c>
      <c r="G50" s="9">
        <v>24.95</v>
      </c>
      <c r="H50" s="9">
        <f t="shared" si="1"/>
        <v>399.2</v>
      </c>
      <c r="I50" s="9">
        <v>3000</v>
      </c>
      <c r="J50" s="2" t="str">
        <f t="shared" si="2"/>
        <v>Below_Target</v>
      </c>
    </row>
    <row r="51" spans="1:10" x14ac:dyDescent="0.25">
      <c r="A51" t="s">
        <v>71</v>
      </c>
      <c r="B51" s="1">
        <v>44976</v>
      </c>
      <c r="C51" t="s">
        <v>28</v>
      </c>
      <c r="D51" t="str">
        <f>VLOOKUP(E51,Lookup_Table!$A$2:$B$9,2,FALSE)</f>
        <v>Electronics</v>
      </c>
      <c r="E51" t="s">
        <v>13</v>
      </c>
      <c r="F51">
        <v>16</v>
      </c>
      <c r="G51" s="9">
        <v>28.3</v>
      </c>
      <c r="H51" s="9">
        <f t="shared" si="1"/>
        <v>452.8</v>
      </c>
      <c r="I51" s="9">
        <v>3000</v>
      </c>
      <c r="J51" s="2" t="str">
        <f t="shared" si="2"/>
        <v>Below_Target</v>
      </c>
    </row>
    <row r="52" spans="1:10" x14ac:dyDescent="0.25">
      <c r="A52" t="s">
        <v>72</v>
      </c>
      <c r="B52" s="1">
        <v>44977</v>
      </c>
      <c r="C52" t="s">
        <v>8</v>
      </c>
      <c r="D52" t="str">
        <f>VLOOKUP(E52,Lookup_Table!$A$2:$B$9,2,FALSE)</f>
        <v>Clothing</v>
      </c>
      <c r="E52" t="s">
        <v>17</v>
      </c>
      <c r="F52">
        <v>3</v>
      </c>
      <c r="G52" s="9">
        <v>413.07</v>
      </c>
      <c r="H52" s="9">
        <f t="shared" si="1"/>
        <v>1239.21</v>
      </c>
      <c r="I52" s="9">
        <v>3000</v>
      </c>
      <c r="J52" s="2" t="str">
        <f t="shared" si="2"/>
        <v>Below_Target</v>
      </c>
    </row>
    <row r="53" spans="1:10" x14ac:dyDescent="0.25">
      <c r="A53" t="s">
        <v>73</v>
      </c>
      <c r="B53" s="1">
        <v>44978</v>
      </c>
      <c r="C53" t="s">
        <v>28</v>
      </c>
      <c r="D53" t="str">
        <f>VLOOKUP(E53,Lookup_Table!$A$2:$B$9,2,FALSE)</f>
        <v>Home_&amp;_Kitchen</v>
      </c>
      <c r="E53" t="s">
        <v>19</v>
      </c>
      <c r="F53">
        <v>1</v>
      </c>
      <c r="G53" s="9">
        <v>186.49</v>
      </c>
      <c r="H53" s="9">
        <f t="shared" si="1"/>
        <v>186.49</v>
      </c>
      <c r="I53" s="9">
        <v>3000</v>
      </c>
      <c r="J53" s="2" t="str">
        <f t="shared" si="2"/>
        <v>Below_Target</v>
      </c>
    </row>
    <row r="54" spans="1:10" x14ac:dyDescent="0.25">
      <c r="A54" t="s">
        <v>74</v>
      </c>
      <c r="B54" s="1">
        <v>44979</v>
      </c>
      <c r="C54" t="s">
        <v>8</v>
      </c>
      <c r="D54" t="str">
        <f>VLOOKUP(E54,Lookup_Table!$A$2:$B$9,2,FALSE)</f>
        <v>Electronics</v>
      </c>
      <c r="E54" t="s">
        <v>13</v>
      </c>
      <c r="F54">
        <v>11</v>
      </c>
      <c r="G54" s="9">
        <v>72.260000000000005</v>
      </c>
      <c r="H54" s="9">
        <f t="shared" si="1"/>
        <v>794.86</v>
      </c>
      <c r="I54" s="9">
        <v>3000</v>
      </c>
      <c r="J54" s="2" t="str">
        <f t="shared" si="2"/>
        <v>Below_Target</v>
      </c>
    </row>
    <row r="55" spans="1:10" x14ac:dyDescent="0.25">
      <c r="A55" t="s">
        <v>75</v>
      </c>
      <c r="B55" s="1">
        <v>44980</v>
      </c>
      <c r="C55" t="s">
        <v>12</v>
      </c>
      <c r="D55" t="str">
        <f>VLOOKUP(E55,Lookup_Table!$A$2:$B$9,2,FALSE)</f>
        <v>Clothing</v>
      </c>
      <c r="E55" t="s">
        <v>32</v>
      </c>
      <c r="F55">
        <v>17</v>
      </c>
      <c r="G55" s="9">
        <v>265.89999999999998</v>
      </c>
      <c r="H55" s="9">
        <f t="shared" si="1"/>
        <v>4520.2999999999993</v>
      </c>
      <c r="I55" s="9">
        <v>3000</v>
      </c>
      <c r="J55" s="2" t="str">
        <f t="shared" si="2"/>
        <v>On_Target</v>
      </c>
    </row>
    <row r="56" spans="1:10" x14ac:dyDescent="0.25">
      <c r="A56" t="s">
        <v>76</v>
      </c>
      <c r="B56" s="1">
        <v>44981</v>
      </c>
      <c r="C56" t="s">
        <v>8</v>
      </c>
      <c r="D56" t="str">
        <f>VLOOKUP(E56,Lookup_Table!$A$2:$B$9,2,FALSE)</f>
        <v>Sports</v>
      </c>
      <c r="E56" t="s">
        <v>10</v>
      </c>
      <c r="F56">
        <v>8</v>
      </c>
      <c r="G56" s="9">
        <v>387.3</v>
      </c>
      <c r="H56" s="9">
        <f t="shared" si="1"/>
        <v>3098.4</v>
      </c>
      <c r="I56" s="9">
        <v>3000</v>
      </c>
      <c r="J56" s="2" t="str">
        <f t="shared" si="2"/>
        <v>On_Target</v>
      </c>
    </row>
    <row r="57" spans="1:10" x14ac:dyDescent="0.25">
      <c r="A57" t="s">
        <v>77</v>
      </c>
      <c r="B57" s="1">
        <v>44982</v>
      </c>
      <c r="C57" t="s">
        <v>12</v>
      </c>
      <c r="D57" t="str">
        <f>VLOOKUP(E57,Lookup_Table!$A$2:$B$9,2,FALSE)</f>
        <v>Home_&amp;_Kitchen</v>
      </c>
      <c r="E57" t="s">
        <v>24</v>
      </c>
      <c r="F57">
        <v>4</v>
      </c>
      <c r="G57" s="9">
        <v>115.75</v>
      </c>
      <c r="H57" s="9">
        <f t="shared" si="1"/>
        <v>463</v>
      </c>
      <c r="I57" s="9">
        <v>3000</v>
      </c>
      <c r="J57" s="2" t="str">
        <f t="shared" si="2"/>
        <v>Below_Target</v>
      </c>
    </row>
    <row r="58" spans="1:10" x14ac:dyDescent="0.25">
      <c r="A58" t="s">
        <v>78</v>
      </c>
      <c r="B58" s="1">
        <v>44983</v>
      </c>
      <c r="C58" t="s">
        <v>12</v>
      </c>
      <c r="D58" t="str">
        <f>VLOOKUP(E58,Lookup_Table!$A$2:$B$9,2,FALSE)</f>
        <v>Sports</v>
      </c>
      <c r="E58" t="s">
        <v>21</v>
      </c>
      <c r="F58">
        <v>6</v>
      </c>
      <c r="G58" s="9">
        <v>315.22000000000003</v>
      </c>
      <c r="H58" s="9">
        <f t="shared" si="1"/>
        <v>1891.3200000000002</v>
      </c>
      <c r="I58" s="9">
        <v>3000</v>
      </c>
      <c r="J58" s="2" t="str">
        <f t="shared" si="2"/>
        <v>Below_Target</v>
      </c>
    </row>
    <row r="59" spans="1:10" x14ac:dyDescent="0.25">
      <c r="A59" t="s">
        <v>79</v>
      </c>
      <c r="B59" s="1">
        <v>44984</v>
      </c>
      <c r="C59" t="s">
        <v>15</v>
      </c>
      <c r="D59" t="str">
        <f>VLOOKUP(E59,Lookup_Table!$A$2:$B$9,2,FALSE)</f>
        <v>Clothing</v>
      </c>
      <c r="E59" t="s">
        <v>32</v>
      </c>
      <c r="F59">
        <v>8</v>
      </c>
      <c r="G59" s="9">
        <v>51.82</v>
      </c>
      <c r="H59" s="9">
        <f t="shared" si="1"/>
        <v>414.56</v>
      </c>
      <c r="I59" s="9">
        <v>3000</v>
      </c>
      <c r="J59" s="2" t="str">
        <f t="shared" si="2"/>
        <v>Below_Target</v>
      </c>
    </row>
    <row r="60" spans="1:10" x14ac:dyDescent="0.25">
      <c r="A60" t="s">
        <v>80</v>
      </c>
      <c r="B60" s="1">
        <v>44985</v>
      </c>
      <c r="C60" t="s">
        <v>8</v>
      </c>
      <c r="D60" t="str">
        <f>VLOOKUP(E60,Lookup_Table!$A$2:$B$9,2,FALSE)</f>
        <v>Electronics</v>
      </c>
      <c r="E60" t="s">
        <v>13</v>
      </c>
      <c r="F60">
        <v>3</v>
      </c>
      <c r="G60" s="9">
        <v>35.32</v>
      </c>
      <c r="H60" s="9">
        <f t="shared" si="1"/>
        <v>105.96000000000001</v>
      </c>
      <c r="I60" s="9">
        <v>3000</v>
      </c>
      <c r="J60" s="2" t="str">
        <f t="shared" si="2"/>
        <v>Below_Target</v>
      </c>
    </row>
    <row r="61" spans="1:10" x14ac:dyDescent="0.25">
      <c r="A61" t="s">
        <v>81</v>
      </c>
      <c r="B61" s="1">
        <v>44986</v>
      </c>
      <c r="C61" t="s">
        <v>15</v>
      </c>
      <c r="D61" t="str">
        <f>VLOOKUP(E61,Lookup_Table!$A$2:$B$9,2,FALSE)</f>
        <v>Home_&amp;_Kitchen</v>
      </c>
      <c r="E61" t="s">
        <v>24</v>
      </c>
      <c r="F61">
        <v>16</v>
      </c>
      <c r="G61" s="9">
        <v>270.36</v>
      </c>
      <c r="H61" s="9">
        <f t="shared" si="1"/>
        <v>4325.76</v>
      </c>
      <c r="I61" s="9">
        <v>3000</v>
      </c>
      <c r="J61" s="2" t="str">
        <f t="shared" si="2"/>
        <v>On_Target</v>
      </c>
    </row>
    <row r="62" spans="1:10" x14ac:dyDescent="0.25">
      <c r="A62" t="s">
        <v>82</v>
      </c>
      <c r="B62" s="1">
        <v>44987</v>
      </c>
      <c r="C62" t="s">
        <v>8</v>
      </c>
      <c r="D62" t="str">
        <f>VLOOKUP(E62,Lookup_Table!$A$2:$B$9,2,FALSE)</f>
        <v>Home_&amp;_Kitchen</v>
      </c>
      <c r="E62" t="s">
        <v>19</v>
      </c>
      <c r="F62">
        <v>3</v>
      </c>
      <c r="G62" s="9">
        <v>274.91000000000003</v>
      </c>
      <c r="H62" s="9">
        <f t="shared" si="1"/>
        <v>824.73</v>
      </c>
      <c r="I62" s="9">
        <v>3000</v>
      </c>
      <c r="J62" s="2" t="str">
        <f t="shared" si="2"/>
        <v>Below_Target</v>
      </c>
    </row>
    <row r="63" spans="1:10" x14ac:dyDescent="0.25">
      <c r="A63" t="s">
        <v>83</v>
      </c>
      <c r="B63" s="1">
        <v>44988</v>
      </c>
      <c r="C63" t="s">
        <v>8</v>
      </c>
      <c r="D63" t="str">
        <f>VLOOKUP(E63,Lookup_Table!$A$2:$B$9,2,FALSE)</f>
        <v>Electronics</v>
      </c>
      <c r="E63" t="s">
        <v>13</v>
      </c>
      <c r="F63">
        <v>18</v>
      </c>
      <c r="G63" s="9">
        <v>322.33999999999997</v>
      </c>
      <c r="H63" s="9">
        <f t="shared" si="1"/>
        <v>5802.12</v>
      </c>
      <c r="I63" s="9">
        <v>3000</v>
      </c>
      <c r="J63" s="2" t="str">
        <f t="shared" si="2"/>
        <v>On_Target</v>
      </c>
    </row>
    <row r="64" spans="1:10" x14ac:dyDescent="0.25">
      <c r="A64" t="s">
        <v>84</v>
      </c>
      <c r="B64" s="1">
        <v>44989</v>
      </c>
      <c r="C64" t="s">
        <v>15</v>
      </c>
      <c r="D64" t="str">
        <f>VLOOKUP(E64,Lookup_Table!$A$2:$B$9,2,FALSE)</f>
        <v>Clothing</v>
      </c>
      <c r="E64" t="s">
        <v>32</v>
      </c>
      <c r="F64">
        <v>14</v>
      </c>
      <c r="G64" s="9">
        <v>365.78</v>
      </c>
      <c r="H64" s="9">
        <f t="shared" si="1"/>
        <v>5120.92</v>
      </c>
      <c r="I64" s="9">
        <v>3000</v>
      </c>
      <c r="J64" s="2" t="str">
        <f t="shared" si="2"/>
        <v>On_Target</v>
      </c>
    </row>
    <row r="65" spans="1:10" x14ac:dyDescent="0.25">
      <c r="A65" t="s">
        <v>85</v>
      </c>
      <c r="B65" s="1">
        <v>44990</v>
      </c>
      <c r="C65" t="s">
        <v>15</v>
      </c>
      <c r="D65" t="str">
        <f>VLOOKUP(E65,Lookup_Table!$A$2:$B$9,2,FALSE)</f>
        <v>Electronics</v>
      </c>
      <c r="E65" t="s">
        <v>44</v>
      </c>
      <c r="F65">
        <v>18</v>
      </c>
      <c r="G65" s="9">
        <v>488.17</v>
      </c>
      <c r="H65" s="9">
        <f t="shared" si="1"/>
        <v>8787.06</v>
      </c>
      <c r="I65" s="9">
        <v>3000</v>
      </c>
      <c r="J65" s="2" t="str">
        <f t="shared" si="2"/>
        <v>On_Target</v>
      </c>
    </row>
    <row r="66" spans="1:10" x14ac:dyDescent="0.25">
      <c r="A66" t="s">
        <v>86</v>
      </c>
      <c r="B66" s="1">
        <v>44991</v>
      </c>
      <c r="C66" t="s">
        <v>8</v>
      </c>
      <c r="D66" t="str">
        <f>VLOOKUP(E66,Lookup_Table!$A$2:$B$9,2,FALSE)</f>
        <v>Clothing</v>
      </c>
      <c r="E66" t="s">
        <v>17</v>
      </c>
      <c r="F66">
        <v>2</v>
      </c>
      <c r="G66" s="9">
        <v>262.99</v>
      </c>
      <c r="H66" s="9">
        <f t="shared" si="1"/>
        <v>525.98</v>
      </c>
      <c r="I66" s="9">
        <v>3000</v>
      </c>
      <c r="J66" s="2" t="str">
        <f t="shared" ref="J66:J97" si="3">IF(H66&gt;=I66,"On_Target","Below_Target")</f>
        <v>Below_Target</v>
      </c>
    </row>
    <row r="67" spans="1:10" x14ac:dyDescent="0.25">
      <c r="A67" t="s">
        <v>87</v>
      </c>
      <c r="B67" s="1">
        <v>44992</v>
      </c>
      <c r="C67" t="s">
        <v>28</v>
      </c>
      <c r="D67" t="str">
        <f>VLOOKUP(E67,Lookup_Table!$A$2:$B$9,2,FALSE)</f>
        <v>Sports</v>
      </c>
      <c r="E67" t="s">
        <v>21</v>
      </c>
      <c r="F67">
        <v>3</v>
      </c>
      <c r="G67" s="9">
        <v>168.25</v>
      </c>
      <c r="H67" s="9">
        <f t="shared" ref="H67:H102" si="4">G67*F67</f>
        <v>504.75</v>
      </c>
      <c r="I67" s="9">
        <v>3000</v>
      </c>
      <c r="J67" s="2" t="str">
        <f t="shared" si="3"/>
        <v>Below_Target</v>
      </c>
    </row>
    <row r="68" spans="1:10" x14ac:dyDescent="0.25">
      <c r="A68" t="s">
        <v>88</v>
      </c>
      <c r="B68" s="1">
        <v>44993</v>
      </c>
      <c r="C68" t="s">
        <v>12</v>
      </c>
      <c r="D68" t="str">
        <f>VLOOKUP(E68,Lookup_Table!$A$2:$B$9,2,FALSE)</f>
        <v>Sports</v>
      </c>
      <c r="E68" t="s">
        <v>10</v>
      </c>
      <c r="F68">
        <v>16</v>
      </c>
      <c r="G68" s="9">
        <v>399.64</v>
      </c>
      <c r="H68" s="9">
        <f t="shared" si="4"/>
        <v>6394.24</v>
      </c>
      <c r="I68" s="9">
        <v>3000</v>
      </c>
      <c r="J68" s="2" t="str">
        <f t="shared" si="3"/>
        <v>On_Target</v>
      </c>
    </row>
    <row r="69" spans="1:10" x14ac:dyDescent="0.25">
      <c r="A69" t="s">
        <v>89</v>
      </c>
      <c r="B69" s="1">
        <v>44994</v>
      </c>
      <c r="C69" t="s">
        <v>15</v>
      </c>
      <c r="D69" t="str">
        <f>VLOOKUP(E69,Lookup_Table!$A$2:$B$9,2,FALSE)</f>
        <v>Clothing</v>
      </c>
      <c r="E69" t="s">
        <v>32</v>
      </c>
      <c r="F69">
        <v>9</v>
      </c>
      <c r="G69" s="9">
        <v>142.71</v>
      </c>
      <c r="H69" s="9">
        <f t="shared" si="4"/>
        <v>1284.3900000000001</v>
      </c>
      <c r="I69" s="9">
        <v>3000</v>
      </c>
      <c r="J69" s="2" t="str">
        <f t="shared" si="3"/>
        <v>Below_Target</v>
      </c>
    </row>
    <row r="70" spans="1:10" x14ac:dyDescent="0.25">
      <c r="A70" t="s">
        <v>90</v>
      </c>
      <c r="B70" s="1">
        <v>44995</v>
      </c>
      <c r="C70" t="s">
        <v>12</v>
      </c>
      <c r="D70" t="str">
        <f>VLOOKUP(E70,Lookup_Table!$A$2:$B$9,2,FALSE)</f>
        <v>Home_&amp;_Kitchen</v>
      </c>
      <c r="E70" t="s">
        <v>24</v>
      </c>
      <c r="F70">
        <v>4</v>
      </c>
      <c r="G70" s="9">
        <v>225.1</v>
      </c>
      <c r="H70" s="9">
        <f t="shared" si="4"/>
        <v>900.4</v>
      </c>
      <c r="I70" s="9">
        <v>3000</v>
      </c>
      <c r="J70" s="2" t="str">
        <f t="shared" si="3"/>
        <v>Below_Target</v>
      </c>
    </row>
    <row r="71" spans="1:10" x14ac:dyDescent="0.25">
      <c r="A71" t="s">
        <v>91</v>
      </c>
      <c r="B71" s="1">
        <v>44996</v>
      </c>
      <c r="C71" t="s">
        <v>28</v>
      </c>
      <c r="D71" t="str">
        <f>VLOOKUP(E71,Lookup_Table!$A$2:$B$9,2,FALSE)</f>
        <v>Sports</v>
      </c>
      <c r="E71" t="s">
        <v>21</v>
      </c>
      <c r="F71">
        <v>1</v>
      </c>
      <c r="G71" s="9">
        <v>48.44</v>
      </c>
      <c r="H71" s="9">
        <f t="shared" si="4"/>
        <v>48.44</v>
      </c>
      <c r="I71" s="9">
        <v>3000</v>
      </c>
      <c r="J71" s="2" t="str">
        <f t="shared" si="3"/>
        <v>Below_Target</v>
      </c>
    </row>
    <row r="72" spans="1:10" x14ac:dyDescent="0.25">
      <c r="A72" t="s">
        <v>92</v>
      </c>
      <c r="B72" s="1">
        <v>44997</v>
      </c>
      <c r="C72" t="s">
        <v>28</v>
      </c>
      <c r="D72" t="str">
        <f>VLOOKUP(E72,Lookup_Table!$A$2:$B$9,2,FALSE)</f>
        <v>Sports</v>
      </c>
      <c r="E72" t="s">
        <v>21</v>
      </c>
      <c r="F72">
        <v>4</v>
      </c>
      <c r="G72" s="9">
        <v>22.42</v>
      </c>
      <c r="H72" s="9">
        <f t="shared" si="4"/>
        <v>89.68</v>
      </c>
      <c r="I72" s="9">
        <v>3000</v>
      </c>
      <c r="J72" s="2" t="str">
        <f t="shared" si="3"/>
        <v>Below_Target</v>
      </c>
    </row>
    <row r="73" spans="1:10" x14ac:dyDescent="0.25">
      <c r="A73" t="s">
        <v>93</v>
      </c>
      <c r="B73" s="1">
        <v>44998</v>
      </c>
      <c r="C73" t="s">
        <v>28</v>
      </c>
      <c r="D73" t="str">
        <f>VLOOKUP(E73,Lookup_Table!$A$2:$B$9,2,FALSE)</f>
        <v>Sports</v>
      </c>
      <c r="E73" t="s">
        <v>21</v>
      </c>
      <c r="F73">
        <v>1</v>
      </c>
      <c r="G73" s="9">
        <v>481.7</v>
      </c>
      <c r="H73" s="9">
        <f t="shared" si="4"/>
        <v>481.7</v>
      </c>
      <c r="I73" s="9">
        <v>3000</v>
      </c>
      <c r="J73" s="2" t="str">
        <f t="shared" si="3"/>
        <v>Below_Target</v>
      </c>
    </row>
    <row r="74" spans="1:10" x14ac:dyDescent="0.25">
      <c r="A74" t="s">
        <v>94</v>
      </c>
      <c r="B74" s="1">
        <v>44999</v>
      </c>
      <c r="C74" t="s">
        <v>15</v>
      </c>
      <c r="D74" t="str">
        <f>VLOOKUP(E74,Lookup_Table!$A$2:$B$9,2,FALSE)</f>
        <v>Electronics</v>
      </c>
      <c r="E74" t="s">
        <v>13</v>
      </c>
      <c r="F74">
        <v>14</v>
      </c>
      <c r="G74" s="9">
        <v>419.63</v>
      </c>
      <c r="H74" s="9">
        <f t="shared" si="4"/>
        <v>5874.82</v>
      </c>
      <c r="I74" s="9">
        <v>3000</v>
      </c>
      <c r="J74" s="2" t="str">
        <f t="shared" si="3"/>
        <v>On_Target</v>
      </c>
    </row>
    <row r="75" spans="1:10" x14ac:dyDescent="0.25">
      <c r="A75" t="s">
        <v>95</v>
      </c>
      <c r="B75" s="1">
        <v>45000</v>
      </c>
      <c r="C75" t="s">
        <v>28</v>
      </c>
      <c r="D75" t="str">
        <f>VLOOKUP(E75,Lookup_Table!$A$2:$B$9,2,FALSE)</f>
        <v>Clothing</v>
      </c>
      <c r="E75" t="s">
        <v>17</v>
      </c>
      <c r="F75">
        <v>16</v>
      </c>
      <c r="G75" s="9">
        <v>351.03</v>
      </c>
      <c r="H75" s="9">
        <f t="shared" si="4"/>
        <v>5616.48</v>
      </c>
      <c r="I75" s="9">
        <v>3000</v>
      </c>
      <c r="J75" s="2" t="str">
        <f t="shared" si="3"/>
        <v>On_Target</v>
      </c>
    </row>
    <row r="76" spans="1:10" x14ac:dyDescent="0.25">
      <c r="A76" t="s">
        <v>96</v>
      </c>
      <c r="B76" s="1">
        <v>45001</v>
      </c>
      <c r="C76" t="s">
        <v>15</v>
      </c>
      <c r="D76" t="str">
        <f>VLOOKUP(E76,Lookup_Table!$A$2:$B$9,2,FALSE)</f>
        <v>Electronics</v>
      </c>
      <c r="E76" t="s">
        <v>13</v>
      </c>
      <c r="F76">
        <v>8</v>
      </c>
      <c r="G76" s="9">
        <v>210.39</v>
      </c>
      <c r="H76" s="9">
        <f t="shared" si="4"/>
        <v>1683.12</v>
      </c>
      <c r="I76" s="9">
        <v>3000</v>
      </c>
      <c r="J76" s="2" t="str">
        <f t="shared" si="3"/>
        <v>Below_Target</v>
      </c>
    </row>
    <row r="77" spans="1:10" x14ac:dyDescent="0.25">
      <c r="A77" t="s">
        <v>97</v>
      </c>
      <c r="B77" s="1">
        <v>45002</v>
      </c>
      <c r="C77" t="s">
        <v>28</v>
      </c>
      <c r="D77" t="str">
        <f>VLOOKUP(E77,Lookup_Table!$A$2:$B$9,2,FALSE)</f>
        <v>Home_&amp;_Kitchen</v>
      </c>
      <c r="E77" t="s">
        <v>24</v>
      </c>
      <c r="F77">
        <v>7</v>
      </c>
      <c r="G77" s="9">
        <v>94.91</v>
      </c>
      <c r="H77" s="9">
        <f t="shared" si="4"/>
        <v>664.37</v>
      </c>
      <c r="I77" s="9">
        <v>3000</v>
      </c>
      <c r="J77" s="2" t="str">
        <f t="shared" si="3"/>
        <v>Below_Target</v>
      </c>
    </row>
    <row r="78" spans="1:10" x14ac:dyDescent="0.25">
      <c r="A78" t="s">
        <v>98</v>
      </c>
      <c r="B78" s="1">
        <v>45003</v>
      </c>
      <c r="C78" t="s">
        <v>12</v>
      </c>
      <c r="D78" t="str">
        <f>VLOOKUP(E78,Lookup_Table!$A$2:$B$9,2,FALSE)</f>
        <v>Electronics</v>
      </c>
      <c r="E78" t="s">
        <v>13</v>
      </c>
      <c r="F78">
        <v>3</v>
      </c>
      <c r="G78" s="9">
        <v>86.65</v>
      </c>
      <c r="H78" s="9">
        <f t="shared" si="4"/>
        <v>259.95000000000005</v>
      </c>
      <c r="I78" s="9">
        <v>3000</v>
      </c>
      <c r="J78" s="2" t="str">
        <f t="shared" si="3"/>
        <v>Below_Target</v>
      </c>
    </row>
    <row r="79" spans="1:10" x14ac:dyDescent="0.25">
      <c r="A79" t="s">
        <v>99</v>
      </c>
      <c r="B79" s="1">
        <v>45004</v>
      </c>
      <c r="C79" t="s">
        <v>12</v>
      </c>
      <c r="D79" t="str">
        <f>VLOOKUP(E79,Lookup_Table!$A$2:$B$9,2,FALSE)</f>
        <v>Electronics</v>
      </c>
      <c r="E79" t="s">
        <v>44</v>
      </c>
      <c r="F79">
        <v>17</v>
      </c>
      <c r="G79" s="9">
        <v>132.62</v>
      </c>
      <c r="H79" s="9">
        <f t="shared" si="4"/>
        <v>2254.54</v>
      </c>
      <c r="I79" s="9">
        <v>3000</v>
      </c>
      <c r="J79" s="2" t="str">
        <f t="shared" si="3"/>
        <v>Below_Target</v>
      </c>
    </row>
    <row r="80" spans="1:10" x14ac:dyDescent="0.25">
      <c r="A80" t="s">
        <v>100</v>
      </c>
      <c r="B80" s="1">
        <v>45005</v>
      </c>
      <c r="C80" t="s">
        <v>8</v>
      </c>
      <c r="D80" t="str">
        <f>VLOOKUP(E80,Lookup_Table!$A$2:$B$9,2,FALSE)</f>
        <v>Clothing</v>
      </c>
      <c r="E80" t="s">
        <v>17</v>
      </c>
      <c r="F80">
        <v>1</v>
      </c>
      <c r="G80" s="9">
        <v>279.12</v>
      </c>
      <c r="H80" s="9">
        <f t="shared" si="4"/>
        <v>279.12</v>
      </c>
      <c r="I80" s="9">
        <v>3000</v>
      </c>
      <c r="J80" s="2" t="str">
        <f t="shared" si="3"/>
        <v>Below_Target</v>
      </c>
    </row>
    <row r="81" spans="1:10" x14ac:dyDescent="0.25">
      <c r="A81" t="s">
        <v>101</v>
      </c>
      <c r="B81" s="1">
        <v>45006</v>
      </c>
      <c r="C81" t="s">
        <v>12</v>
      </c>
      <c r="D81" t="str">
        <f>VLOOKUP(E81,Lookup_Table!$A$2:$B$9,2,FALSE)</f>
        <v>Clothing</v>
      </c>
      <c r="E81" t="s">
        <v>17</v>
      </c>
      <c r="F81">
        <v>16</v>
      </c>
      <c r="G81" s="9">
        <v>360.15</v>
      </c>
      <c r="H81" s="9">
        <f t="shared" si="4"/>
        <v>5762.4</v>
      </c>
      <c r="I81" s="9">
        <v>3000</v>
      </c>
      <c r="J81" s="2" t="str">
        <f t="shared" si="3"/>
        <v>On_Target</v>
      </c>
    </row>
    <row r="82" spans="1:10" x14ac:dyDescent="0.25">
      <c r="A82" t="s">
        <v>102</v>
      </c>
      <c r="B82" s="1">
        <v>45007</v>
      </c>
      <c r="C82" t="s">
        <v>8</v>
      </c>
      <c r="D82" t="str">
        <f>VLOOKUP(E82,Lookup_Table!$A$2:$B$9,2,FALSE)</f>
        <v>Home_&amp;_Kitchen</v>
      </c>
      <c r="E82" t="s">
        <v>24</v>
      </c>
      <c r="F82">
        <v>12</v>
      </c>
      <c r="G82" s="9">
        <v>333.5</v>
      </c>
      <c r="H82" s="9">
        <f t="shared" si="4"/>
        <v>4002</v>
      </c>
      <c r="I82" s="9">
        <v>3000</v>
      </c>
      <c r="J82" s="2" t="str">
        <f t="shared" si="3"/>
        <v>On_Target</v>
      </c>
    </row>
    <row r="83" spans="1:10" x14ac:dyDescent="0.25">
      <c r="A83" t="s">
        <v>103</v>
      </c>
      <c r="B83" s="1">
        <v>45008</v>
      </c>
      <c r="C83" t="s">
        <v>12</v>
      </c>
      <c r="D83" t="str">
        <f>VLOOKUP(E83,Lookup_Table!$A$2:$B$9,2,FALSE)</f>
        <v>Sports</v>
      </c>
      <c r="E83" t="s">
        <v>10</v>
      </c>
      <c r="F83">
        <v>19</v>
      </c>
      <c r="G83" s="9">
        <v>147.16999999999999</v>
      </c>
      <c r="H83" s="9">
        <f t="shared" si="4"/>
        <v>2796.2299999999996</v>
      </c>
      <c r="I83" s="9">
        <v>3000</v>
      </c>
      <c r="J83" s="2" t="str">
        <f t="shared" si="3"/>
        <v>Below_Target</v>
      </c>
    </row>
    <row r="84" spans="1:10" x14ac:dyDescent="0.25">
      <c r="A84" t="s">
        <v>104</v>
      </c>
      <c r="B84" s="1">
        <v>45009</v>
      </c>
      <c r="C84" t="s">
        <v>15</v>
      </c>
      <c r="D84" t="str">
        <f>VLOOKUP(E84,Lookup_Table!$A$2:$B$9,2,FALSE)</f>
        <v>Electronics</v>
      </c>
      <c r="E84" t="s">
        <v>44</v>
      </c>
      <c r="F84">
        <v>14</v>
      </c>
      <c r="G84" s="9">
        <v>477.88</v>
      </c>
      <c r="H84" s="9">
        <f t="shared" si="4"/>
        <v>6690.32</v>
      </c>
      <c r="I84" s="9">
        <v>3000</v>
      </c>
      <c r="J84" s="2" t="str">
        <f t="shared" si="3"/>
        <v>On_Target</v>
      </c>
    </row>
    <row r="85" spans="1:10" x14ac:dyDescent="0.25">
      <c r="A85" t="s">
        <v>105</v>
      </c>
      <c r="B85" s="1">
        <v>45010</v>
      </c>
      <c r="C85" t="s">
        <v>12</v>
      </c>
      <c r="D85" t="str">
        <f>VLOOKUP(E85,Lookup_Table!$A$2:$B$9,2,FALSE)</f>
        <v>Clothing</v>
      </c>
      <c r="E85" t="s">
        <v>32</v>
      </c>
      <c r="F85">
        <v>6</v>
      </c>
      <c r="G85" s="9">
        <v>371.57</v>
      </c>
      <c r="H85" s="9">
        <f t="shared" si="4"/>
        <v>2229.42</v>
      </c>
      <c r="I85" s="9">
        <v>3000</v>
      </c>
      <c r="J85" s="2" t="str">
        <f t="shared" si="3"/>
        <v>Below_Target</v>
      </c>
    </row>
    <row r="86" spans="1:10" x14ac:dyDescent="0.25">
      <c r="A86" t="s">
        <v>106</v>
      </c>
      <c r="B86" s="1">
        <v>45011</v>
      </c>
      <c r="C86" t="s">
        <v>8</v>
      </c>
      <c r="D86" t="str">
        <f>VLOOKUP(E86,Lookup_Table!$A$2:$B$9,2,FALSE)</f>
        <v>Electronics</v>
      </c>
      <c r="E86" t="s">
        <v>13</v>
      </c>
      <c r="F86">
        <v>6</v>
      </c>
      <c r="G86" s="9">
        <v>281.63</v>
      </c>
      <c r="H86" s="9">
        <f t="shared" si="4"/>
        <v>1689.78</v>
      </c>
      <c r="I86" s="9">
        <v>3000</v>
      </c>
      <c r="J86" s="2" t="str">
        <f t="shared" si="3"/>
        <v>Below_Target</v>
      </c>
    </row>
    <row r="87" spans="1:10" x14ac:dyDescent="0.25">
      <c r="A87" t="s">
        <v>107</v>
      </c>
      <c r="B87" s="1">
        <v>45012</v>
      </c>
      <c r="C87" t="s">
        <v>8</v>
      </c>
      <c r="D87" t="str">
        <f>VLOOKUP(E87,Lookup_Table!$A$2:$B$9,2,FALSE)</f>
        <v>Home_&amp;_Kitchen</v>
      </c>
      <c r="E87" t="s">
        <v>19</v>
      </c>
      <c r="F87">
        <v>13</v>
      </c>
      <c r="G87" s="9">
        <v>309.74</v>
      </c>
      <c r="H87" s="9">
        <f t="shared" si="4"/>
        <v>4026.62</v>
      </c>
      <c r="I87" s="9">
        <v>3000</v>
      </c>
      <c r="J87" s="2" t="str">
        <f t="shared" si="3"/>
        <v>On_Target</v>
      </c>
    </row>
    <row r="88" spans="1:10" x14ac:dyDescent="0.25">
      <c r="A88" t="s">
        <v>108</v>
      </c>
      <c r="B88" s="1">
        <v>45013</v>
      </c>
      <c r="C88" t="s">
        <v>28</v>
      </c>
      <c r="D88" t="str">
        <f>VLOOKUP(E88,Lookup_Table!$A$2:$B$9,2,FALSE)</f>
        <v>Electronics</v>
      </c>
      <c r="E88" t="s">
        <v>13</v>
      </c>
      <c r="F88">
        <v>19</v>
      </c>
      <c r="G88" s="9">
        <v>215.6</v>
      </c>
      <c r="H88" s="9">
        <f t="shared" si="4"/>
        <v>4096.3999999999996</v>
      </c>
      <c r="I88" s="9">
        <v>3000</v>
      </c>
      <c r="J88" s="2" t="str">
        <f t="shared" si="3"/>
        <v>On_Target</v>
      </c>
    </row>
    <row r="89" spans="1:10" x14ac:dyDescent="0.25">
      <c r="A89" t="s">
        <v>109</v>
      </c>
      <c r="B89" s="1">
        <v>45014</v>
      </c>
      <c r="C89" t="s">
        <v>15</v>
      </c>
      <c r="D89" t="str">
        <f>VLOOKUP(E89,Lookup_Table!$A$2:$B$9,2,FALSE)</f>
        <v>Sports</v>
      </c>
      <c r="E89" t="s">
        <v>21</v>
      </c>
      <c r="F89">
        <v>8</v>
      </c>
      <c r="G89" s="9">
        <v>131.38999999999999</v>
      </c>
      <c r="H89" s="9">
        <f t="shared" si="4"/>
        <v>1051.1199999999999</v>
      </c>
      <c r="I89" s="9">
        <v>3000</v>
      </c>
      <c r="J89" s="2" t="str">
        <f t="shared" si="3"/>
        <v>Below_Target</v>
      </c>
    </row>
    <row r="90" spans="1:10" x14ac:dyDescent="0.25">
      <c r="A90" t="s">
        <v>110</v>
      </c>
      <c r="B90" s="1">
        <v>45015</v>
      </c>
      <c r="C90" t="s">
        <v>12</v>
      </c>
      <c r="D90" t="str">
        <f>VLOOKUP(E90,Lookup_Table!$A$2:$B$9,2,FALSE)</f>
        <v>Electronics</v>
      </c>
      <c r="E90" t="s">
        <v>13</v>
      </c>
      <c r="F90">
        <v>2</v>
      </c>
      <c r="G90" s="9">
        <v>184.43</v>
      </c>
      <c r="H90" s="9">
        <f t="shared" si="4"/>
        <v>368.86</v>
      </c>
      <c r="I90" s="9">
        <v>3000</v>
      </c>
      <c r="J90" s="2" t="str">
        <f t="shared" si="3"/>
        <v>Below_Target</v>
      </c>
    </row>
    <row r="91" spans="1:10" x14ac:dyDescent="0.25">
      <c r="A91" t="s">
        <v>111</v>
      </c>
      <c r="B91" s="1">
        <v>45016</v>
      </c>
      <c r="C91" t="s">
        <v>28</v>
      </c>
      <c r="D91" t="str">
        <f>VLOOKUP(E91,Lookup_Table!$A$2:$B$9,2,FALSE)</f>
        <v>Clothing</v>
      </c>
      <c r="E91" t="s">
        <v>32</v>
      </c>
      <c r="F91">
        <v>1</v>
      </c>
      <c r="G91" s="9">
        <v>381.34</v>
      </c>
      <c r="H91" s="9">
        <f t="shared" si="4"/>
        <v>381.34</v>
      </c>
      <c r="I91" s="9">
        <v>3000</v>
      </c>
      <c r="J91" s="2" t="str">
        <f t="shared" si="3"/>
        <v>Below_Target</v>
      </c>
    </row>
    <row r="92" spans="1:10" x14ac:dyDescent="0.25">
      <c r="A92" t="s">
        <v>112</v>
      </c>
      <c r="B92" s="1">
        <v>45017</v>
      </c>
      <c r="C92" t="s">
        <v>12</v>
      </c>
      <c r="D92" t="str">
        <f>VLOOKUP(E92,Lookup_Table!$A$2:$B$9,2,FALSE)</f>
        <v>Electronics</v>
      </c>
      <c r="E92" t="s">
        <v>13</v>
      </c>
      <c r="F92">
        <v>15</v>
      </c>
      <c r="G92" s="9">
        <v>17.05</v>
      </c>
      <c r="H92" s="9">
        <f t="shared" si="4"/>
        <v>255.75</v>
      </c>
      <c r="I92" s="9">
        <v>3000</v>
      </c>
      <c r="J92" s="2" t="str">
        <f t="shared" si="3"/>
        <v>Below_Target</v>
      </c>
    </row>
    <row r="93" spans="1:10" x14ac:dyDescent="0.25">
      <c r="A93" t="s">
        <v>113</v>
      </c>
      <c r="B93" s="1">
        <v>45018</v>
      </c>
      <c r="C93" t="s">
        <v>12</v>
      </c>
      <c r="D93" t="str">
        <f>VLOOKUP(E93,Lookup_Table!$A$2:$B$9,2,FALSE)</f>
        <v>Electronics</v>
      </c>
      <c r="E93" t="s">
        <v>44</v>
      </c>
      <c r="F93">
        <v>1</v>
      </c>
      <c r="G93" s="9">
        <v>66.88</v>
      </c>
      <c r="H93" s="9">
        <f t="shared" si="4"/>
        <v>66.88</v>
      </c>
      <c r="I93" s="9">
        <v>3000</v>
      </c>
      <c r="J93" s="2" t="str">
        <f t="shared" si="3"/>
        <v>Below_Target</v>
      </c>
    </row>
    <row r="94" spans="1:10" x14ac:dyDescent="0.25">
      <c r="A94" t="s">
        <v>114</v>
      </c>
      <c r="B94" s="1">
        <v>45019</v>
      </c>
      <c r="C94" t="s">
        <v>28</v>
      </c>
      <c r="D94" t="str">
        <f>VLOOKUP(E94,Lookup_Table!$A$2:$B$9,2,FALSE)</f>
        <v>Electronics</v>
      </c>
      <c r="E94" t="s">
        <v>44</v>
      </c>
      <c r="F94">
        <v>5</v>
      </c>
      <c r="G94" s="9">
        <v>32.54</v>
      </c>
      <c r="H94" s="9">
        <f t="shared" si="4"/>
        <v>162.69999999999999</v>
      </c>
      <c r="I94" s="9">
        <v>3000</v>
      </c>
      <c r="J94" s="2" t="str">
        <f t="shared" si="3"/>
        <v>Below_Target</v>
      </c>
    </row>
    <row r="95" spans="1:10" x14ac:dyDescent="0.25">
      <c r="A95" t="s">
        <v>115</v>
      </c>
      <c r="B95" s="1">
        <v>45020</v>
      </c>
      <c r="C95" t="s">
        <v>28</v>
      </c>
      <c r="D95" t="str">
        <f>VLOOKUP(E95,Lookup_Table!$A$2:$B$9,2,FALSE)</f>
        <v>Clothing</v>
      </c>
      <c r="E95" t="s">
        <v>17</v>
      </c>
      <c r="F95">
        <v>16</v>
      </c>
      <c r="G95" s="9">
        <v>29.96</v>
      </c>
      <c r="H95" s="9">
        <f t="shared" si="4"/>
        <v>479.36</v>
      </c>
      <c r="I95" s="9">
        <v>3000</v>
      </c>
      <c r="J95" s="2" t="str">
        <f t="shared" si="3"/>
        <v>Below_Target</v>
      </c>
    </row>
    <row r="96" spans="1:10" x14ac:dyDescent="0.25">
      <c r="A96" t="s">
        <v>116</v>
      </c>
      <c r="B96" s="1">
        <v>45021</v>
      </c>
      <c r="C96" t="s">
        <v>28</v>
      </c>
      <c r="D96" t="str">
        <f>VLOOKUP(E96,Lookup_Table!$A$2:$B$9,2,FALSE)</f>
        <v>Home_&amp;_Kitchen</v>
      </c>
      <c r="E96" t="s">
        <v>24</v>
      </c>
      <c r="F96">
        <v>19</v>
      </c>
      <c r="G96" s="9">
        <v>429.18</v>
      </c>
      <c r="H96" s="9">
        <f t="shared" si="4"/>
        <v>8154.42</v>
      </c>
      <c r="I96" s="9">
        <v>3000</v>
      </c>
      <c r="J96" s="2" t="str">
        <f t="shared" si="3"/>
        <v>On_Target</v>
      </c>
    </row>
    <row r="97" spans="1:10" x14ac:dyDescent="0.25">
      <c r="A97" t="s">
        <v>117</v>
      </c>
      <c r="B97" s="1">
        <v>45022</v>
      </c>
      <c r="C97" t="s">
        <v>28</v>
      </c>
      <c r="D97" t="str">
        <f>VLOOKUP(E97,Lookup_Table!$A$2:$B$9,2,FALSE)</f>
        <v>Sports</v>
      </c>
      <c r="E97" t="s">
        <v>10</v>
      </c>
      <c r="F97">
        <v>4</v>
      </c>
      <c r="G97" s="9">
        <v>354.79</v>
      </c>
      <c r="H97" s="9">
        <f t="shared" si="4"/>
        <v>1419.16</v>
      </c>
      <c r="I97" s="9">
        <v>3000</v>
      </c>
      <c r="J97" s="2" t="str">
        <f t="shared" si="3"/>
        <v>Below_Target</v>
      </c>
    </row>
    <row r="98" spans="1:10" x14ac:dyDescent="0.25">
      <c r="A98" t="s">
        <v>118</v>
      </c>
      <c r="B98" s="1">
        <v>45023</v>
      </c>
      <c r="C98" t="s">
        <v>28</v>
      </c>
      <c r="D98" t="str">
        <f>VLOOKUP(E98,Lookup_Table!$A$2:$B$9,2,FALSE)</f>
        <v>Home_&amp;_Kitchen</v>
      </c>
      <c r="E98" t="s">
        <v>19</v>
      </c>
      <c r="F98">
        <v>3</v>
      </c>
      <c r="G98" s="9">
        <v>242.35</v>
      </c>
      <c r="H98" s="9">
        <f t="shared" si="4"/>
        <v>727.05</v>
      </c>
      <c r="I98" s="9">
        <v>3000</v>
      </c>
      <c r="J98" s="2" t="str">
        <f t="shared" ref="J98:J102" si="5">IF(H98&gt;=I98,"On_Target","Below_Target")</f>
        <v>Below_Target</v>
      </c>
    </row>
    <row r="99" spans="1:10" x14ac:dyDescent="0.25">
      <c r="A99" t="s">
        <v>119</v>
      </c>
      <c r="B99" s="1">
        <v>45024</v>
      </c>
      <c r="C99" t="s">
        <v>12</v>
      </c>
      <c r="D99" t="str">
        <f>VLOOKUP(E99,Lookup_Table!$A$2:$B$9,2,FALSE)</f>
        <v>Sports</v>
      </c>
      <c r="E99" t="s">
        <v>21</v>
      </c>
      <c r="F99">
        <v>17</v>
      </c>
      <c r="G99" s="9">
        <v>57.94</v>
      </c>
      <c r="H99" s="9">
        <f t="shared" si="4"/>
        <v>984.98</v>
      </c>
      <c r="I99" s="9">
        <v>3000</v>
      </c>
      <c r="J99" s="2" t="str">
        <f t="shared" si="5"/>
        <v>Below_Target</v>
      </c>
    </row>
    <row r="100" spans="1:10" x14ac:dyDescent="0.25">
      <c r="A100" t="s">
        <v>120</v>
      </c>
      <c r="B100" s="1">
        <v>45025</v>
      </c>
      <c r="C100" t="s">
        <v>28</v>
      </c>
      <c r="D100" t="str">
        <f>VLOOKUP(E100,Lookup_Table!$A$2:$B$9,2,FALSE)</f>
        <v>Electronics</v>
      </c>
      <c r="E100" t="s">
        <v>13</v>
      </c>
      <c r="F100">
        <v>17</v>
      </c>
      <c r="G100" s="9">
        <v>250.89</v>
      </c>
      <c r="H100" s="9">
        <f t="shared" si="4"/>
        <v>4265.13</v>
      </c>
      <c r="I100" s="9">
        <v>3000</v>
      </c>
      <c r="J100" s="2" t="str">
        <f t="shared" si="5"/>
        <v>On_Target</v>
      </c>
    </row>
    <row r="101" spans="1:10" x14ac:dyDescent="0.25">
      <c r="A101" t="s">
        <v>121</v>
      </c>
      <c r="B101" s="1">
        <v>45026</v>
      </c>
      <c r="C101" t="s">
        <v>15</v>
      </c>
      <c r="D101" t="str">
        <f>VLOOKUP(E101,Lookup_Table!$A$2:$B$9,2,FALSE)</f>
        <v>Electronics</v>
      </c>
      <c r="E101" t="s">
        <v>13</v>
      </c>
      <c r="F101">
        <v>12</v>
      </c>
      <c r="G101" s="9">
        <v>242</v>
      </c>
      <c r="H101" s="9">
        <f t="shared" si="4"/>
        <v>2904</v>
      </c>
      <c r="I101" s="9">
        <v>3000</v>
      </c>
      <c r="J101" s="2" t="str">
        <f t="shared" si="5"/>
        <v>Below_Target</v>
      </c>
    </row>
    <row r="102" spans="1:10" x14ac:dyDescent="0.25">
      <c r="A102" t="s">
        <v>122</v>
      </c>
      <c r="B102" s="1">
        <v>45027</v>
      </c>
      <c r="C102" t="s">
        <v>8</v>
      </c>
      <c r="D102" t="str">
        <f>VLOOKUP(E102,Lookup_Table!$A$2:$B$9,2,FALSE)</f>
        <v>Clothing</v>
      </c>
      <c r="E102" t="s">
        <v>32</v>
      </c>
      <c r="F102">
        <v>14</v>
      </c>
      <c r="G102" s="9">
        <v>94.87</v>
      </c>
      <c r="H102" s="9">
        <f t="shared" si="4"/>
        <v>1328.18</v>
      </c>
      <c r="I102" s="9">
        <v>3000</v>
      </c>
      <c r="J102" s="2" t="str">
        <f t="shared" si="5"/>
        <v>Below_Target</v>
      </c>
    </row>
    <row r="104" spans="1:10" x14ac:dyDescent="0.25">
      <c r="B104" s="8" t="s">
        <v>138</v>
      </c>
    </row>
    <row r="105" spans="1:10" x14ac:dyDescent="0.25">
      <c r="B105" s="10" t="s">
        <v>129</v>
      </c>
      <c r="C105" s="9">
        <f>SUM(H2:H102)</f>
        <v>249117.09000000003</v>
      </c>
    </row>
    <row r="106" spans="1:10" x14ac:dyDescent="0.25">
      <c r="B106" s="10" t="s">
        <v>142</v>
      </c>
      <c r="C106" s="9">
        <f>AVERAGE(H2:H102)</f>
        <v>2466.5058415841586</v>
      </c>
      <c r="G106" s="10" t="s">
        <v>129</v>
      </c>
      <c r="H106" s="9">
        <f>SUM(H2:H102)</f>
        <v>249117.09000000003</v>
      </c>
    </row>
    <row r="107" spans="1:10" x14ac:dyDescent="0.25">
      <c r="B107" s="10" t="s">
        <v>149</v>
      </c>
      <c r="C107" s="6">
        <f>COUNTIF(J2:J102,"On_Target")</f>
        <v>32</v>
      </c>
      <c r="G107" s="10" t="s">
        <v>142</v>
      </c>
      <c r="H107" s="9">
        <f>AVERAGE(H2:H102)</f>
        <v>2466.5058415841586</v>
      </c>
    </row>
    <row r="108" spans="1:10" x14ac:dyDescent="0.25">
      <c r="B108" s="10" t="s">
        <v>143</v>
      </c>
      <c r="C108" s="5">
        <f>SUM(H2:H102)/SUM(I2:I102)</f>
        <v>0.82216861386138618</v>
      </c>
      <c r="G108" s="10" t="s">
        <v>149</v>
      </c>
      <c r="H108" s="6">
        <f>COUNTIF(J2:J102,"On_Target")</f>
        <v>32</v>
      </c>
    </row>
    <row r="109" spans="1:10" x14ac:dyDescent="0.25">
      <c r="G109" s="10" t="s">
        <v>143</v>
      </c>
      <c r="H109" s="5">
        <f>SUM(H2:H102)/SUM(I2:I102)</f>
        <v>0.82216861386138618</v>
      </c>
    </row>
    <row r="118" spans="8:9" x14ac:dyDescent="0.25">
      <c r="H118" s="35"/>
      <c r="I118" s="35"/>
    </row>
    <row r="122" spans="8:9" x14ac:dyDescent="0.25">
      <c r="H122"/>
      <c r="I122"/>
    </row>
    <row r="123" spans="8:9" x14ac:dyDescent="0.25">
      <c r="H123"/>
      <c r="I123"/>
    </row>
    <row r="124" spans="8:9" x14ac:dyDescent="0.25">
      <c r="H124"/>
      <c r="I124"/>
    </row>
    <row r="125" spans="8:9" x14ac:dyDescent="0.25">
      <c r="H125"/>
      <c r="I125"/>
    </row>
    <row r="126" spans="8:9" x14ac:dyDescent="0.25">
      <c r="H126"/>
      <c r="I126"/>
    </row>
  </sheetData>
  <mergeCells count="1">
    <mergeCell ref="H118:I118"/>
  </mergeCells>
  <conditionalFormatting sqref="B108:C108 G109:H109">
    <cfRule type="expression" dxfId="21" priority="6">
      <formula>$H$109&lt;100%</formula>
    </cfRule>
  </conditionalFormatting>
  <conditionalFormatting sqref="C108 H109">
    <cfRule type="expression" dxfId="20" priority="7">
      <formula>$H$109&lt;100%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CE30-0794-461F-8615-5F99ACC3F7F4}">
  <dimension ref="A1:I212"/>
  <sheetViews>
    <sheetView topLeftCell="A27" workbookViewId="0">
      <selection activeCell="B8" sqref="B8"/>
    </sheetView>
  </sheetViews>
  <sheetFormatPr defaultRowHeight="15" x14ac:dyDescent="0.25"/>
  <cols>
    <col min="1" max="1" width="19.7109375" bestFit="1" customWidth="1"/>
    <col min="2" max="4" width="31.85546875" style="9" bestFit="1" customWidth="1"/>
    <col min="5" max="5" width="19" style="9" bestFit="1" customWidth="1"/>
    <col min="6" max="6" width="14.140625" customWidth="1"/>
    <col min="7" max="7" width="13.140625" bestFit="1" customWidth="1"/>
    <col min="8" max="8" width="14.140625" bestFit="1" customWidth="1"/>
    <col min="9" max="9" width="14.140625" hidden="1" customWidth="1"/>
    <col min="10" max="10" width="14.140625" bestFit="1" customWidth="1"/>
    <col min="11" max="11" width="13.140625" bestFit="1" customWidth="1"/>
    <col min="12" max="12" width="14.140625" bestFit="1" customWidth="1"/>
    <col min="13" max="13" width="13.140625" bestFit="1" customWidth="1"/>
    <col min="14" max="14" width="14.140625" bestFit="1" customWidth="1"/>
  </cols>
  <sheetData>
    <row r="1" spans="1:5" x14ac:dyDescent="0.25">
      <c r="B1"/>
    </row>
    <row r="2" spans="1:5" x14ac:dyDescent="0.25">
      <c r="B2"/>
    </row>
    <row r="3" spans="1:5" x14ac:dyDescent="0.25">
      <c r="A3" s="7" t="s">
        <v>137</v>
      </c>
      <c r="B3" t="s">
        <v>139</v>
      </c>
    </row>
    <row r="4" spans="1:5" x14ac:dyDescent="0.25">
      <c r="B4"/>
      <c r="C4"/>
      <c r="D4"/>
      <c r="E4"/>
    </row>
    <row r="5" spans="1:5" x14ac:dyDescent="0.25">
      <c r="A5" s="7" t="s">
        <v>2</v>
      </c>
      <c r="B5" s="9" t="s">
        <v>136</v>
      </c>
      <c r="C5"/>
      <c r="D5"/>
      <c r="E5"/>
    </row>
    <row r="6" spans="1:5" x14ac:dyDescent="0.25">
      <c r="A6" t="s">
        <v>28</v>
      </c>
      <c r="B6" s="9">
        <v>44585.39</v>
      </c>
      <c r="C6"/>
      <c r="D6"/>
      <c r="E6"/>
    </row>
    <row r="7" spans="1:5" x14ac:dyDescent="0.25">
      <c r="A7" t="s">
        <v>8</v>
      </c>
      <c r="B7" s="9">
        <v>57384.460000000006</v>
      </c>
      <c r="C7"/>
      <c r="D7"/>
      <c r="E7"/>
    </row>
    <row r="8" spans="1:5" x14ac:dyDescent="0.25">
      <c r="A8" t="s">
        <v>12</v>
      </c>
      <c r="B8" s="9">
        <v>70785.710000000006</v>
      </c>
      <c r="C8"/>
      <c r="D8"/>
      <c r="E8"/>
    </row>
    <row r="9" spans="1:5" x14ac:dyDescent="0.25">
      <c r="A9" t="s">
        <v>15</v>
      </c>
      <c r="B9" s="9">
        <v>76361.53</v>
      </c>
      <c r="C9"/>
      <c r="D9"/>
      <c r="E9"/>
    </row>
    <row r="10" spans="1:5" hidden="1" x14ac:dyDescent="0.25">
      <c r="A10" t="s">
        <v>131</v>
      </c>
      <c r="B10" s="9">
        <v>249117.09000000003</v>
      </c>
      <c r="C10"/>
      <c r="D10"/>
      <c r="E10"/>
    </row>
    <row r="11" spans="1:5" hidden="1" x14ac:dyDescent="0.25">
      <c r="C11"/>
      <c r="D11"/>
      <c r="E11"/>
    </row>
    <row r="12" spans="1:5" x14ac:dyDescent="0.25">
      <c r="C12"/>
      <c r="D12"/>
    </row>
    <row r="13" spans="1:5" x14ac:dyDescent="0.25">
      <c r="C13"/>
      <c r="D13"/>
    </row>
    <row r="14" spans="1:5" x14ac:dyDescent="0.25">
      <c r="C14"/>
      <c r="D14"/>
    </row>
    <row r="15" spans="1:5" x14ac:dyDescent="0.25">
      <c r="C15"/>
      <c r="D15"/>
    </row>
    <row r="16" spans="1:5" x14ac:dyDescent="0.25">
      <c r="C16"/>
      <c r="D16"/>
    </row>
    <row r="17" spans="3:7" x14ac:dyDescent="0.25">
      <c r="C17"/>
      <c r="D17"/>
    </row>
    <row r="18" spans="3:7" x14ac:dyDescent="0.25">
      <c r="C18"/>
      <c r="D18"/>
    </row>
    <row r="19" spans="3:7" x14ac:dyDescent="0.25">
      <c r="C19"/>
      <c r="D19"/>
      <c r="G19" s="9"/>
    </row>
    <row r="20" spans="3:7" x14ac:dyDescent="0.25">
      <c r="C20"/>
      <c r="D20"/>
    </row>
    <row r="21" spans="3:7" x14ac:dyDescent="0.25">
      <c r="C21"/>
      <c r="D21"/>
    </row>
    <row r="22" spans="3:7" x14ac:dyDescent="0.25">
      <c r="C22"/>
      <c r="D22"/>
    </row>
    <row r="23" spans="3:7" x14ac:dyDescent="0.25">
      <c r="C23"/>
      <c r="D23"/>
    </row>
    <row r="24" spans="3:7" x14ac:dyDescent="0.25">
      <c r="C24"/>
      <c r="D24"/>
    </row>
    <row r="25" spans="3:7" x14ac:dyDescent="0.25">
      <c r="C25"/>
      <c r="D25"/>
    </row>
    <row r="26" spans="3:7" x14ac:dyDescent="0.25">
      <c r="C26"/>
    </row>
    <row r="27" spans="3:7" x14ac:dyDescent="0.25">
      <c r="C27"/>
    </row>
    <row r="28" spans="3:7" x14ac:dyDescent="0.25">
      <c r="C28"/>
    </row>
    <row r="29" spans="3:7" x14ac:dyDescent="0.25">
      <c r="C29"/>
    </row>
    <row r="30" spans="3:7" x14ac:dyDescent="0.25">
      <c r="C30"/>
    </row>
    <row r="31" spans="3:7" x14ac:dyDescent="0.25">
      <c r="C31"/>
    </row>
    <row r="32" spans="3:7" x14ac:dyDescent="0.25">
      <c r="C32"/>
    </row>
    <row r="33" spans="3:3" x14ac:dyDescent="0.25">
      <c r="C33"/>
    </row>
    <row r="34" spans="3:3" x14ac:dyDescent="0.25">
      <c r="C34"/>
    </row>
    <row r="35" spans="3:3" x14ac:dyDescent="0.25">
      <c r="C35"/>
    </row>
    <row r="36" spans="3:3" x14ac:dyDescent="0.25">
      <c r="C36"/>
    </row>
    <row r="37" spans="3:3" x14ac:dyDescent="0.25">
      <c r="C37"/>
    </row>
    <row r="38" spans="3:3" x14ac:dyDescent="0.25">
      <c r="C38"/>
    </row>
    <row r="39" spans="3:3" x14ac:dyDescent="0.25">
      <c r="C39"/>
    </row>
    <row r="40" spans="3:3" x14ac:dyDescent="0.25">
      <c r="C40"/>
    </row>
    <row r="41" spans="3:3" x14ac:dyDescent="0.25">
      <c r="C41"/>
    </row>
    <row r="42" spans="3:3" x14ac:dyDescent="0.25">
      <c r="C42"/>
    </row>
    <row r="43" spans="3:3" x14ac:dyDescent="0.25">
      <c r="C43"/>
    </row>
    <row r="44" spans="3:3" x14ac:dyDescent="0.25">
      <c r="C44"/>
    </row>
    <row r="45" spans="3:3" x14ac:dyDescent="0.25">
      <c r="C45"/>
    </row>
    <row r="46" spans="3:3" x14ac:dyDescent="0.25">
      <c r="C46"/>
    </row>
    <row r="47" spans="3:3" x14ac:dyDescent="0.25">
      <c r="C47"/>
    </row>
    <row r="48" spans="3:3" x14ac:dyDescent="0.25">
      <c r="C48"/>
    </row>
    <row r="49" spans="3:3" x14ac:dyDescent="0.25">
      <c r="C49"/>
    </row>
    <row r="50" spans="3:3" x14ac:dyDescent="0.25">
      <c r="C50"/>
    </row>
    <row r="51" spans="3:3" x14ac:dyDescent="0.25">
      <c r="C51"/>
    </row>
    <row r="52" spans="3:3" x14ac:dyDescent="0.25">
      <c r="C52"/>
    </row>
    <row r="53" spans="3:3" x14ac:dyDescent="0.25">
      <c r="C53"/>
    </row>
    <row r="54" spans="3:3" x14ac:dyDescent="0.25">
      <c r="C54"/>
    </row>
    <row r="55" spans="3:3" x14ac:dyDescent="0.25">
      <c r="C55"/>
    </row>
    <row r="56" spans="3:3" x14ac:dyDescent="0.25">
      <c r="C56"/>
    </row>
    <row r="57" spans="3:3" x14ac:dyDescent="0.25">
      <c r="C57"/>
    </row>
    <row r="58" spans="3:3" x14ac:dyDescent="0.25">
      <c r="C58"/>
    </row>
    <row r="59" spans="3:3" x14ac:dyDescent="0.25">
      <c r="C59"/>
    </row>
    <row r="60" spans="3:3" x14ac:dyDescent="0.25">
      <c r="C60"/>
    </row>
    <row r="61" spans="3:3" x14ac:dyDescent="0.25">
      <c r="C61"/>
    </row>
    <row r="62" spans="3:3" x14ac:dyDescent="0.25">
      <c r="C62"/>
    </row>
    <row r="63" spans="3:3" x14ac:dyDescent="0.25">
      <c r="C63"/>
    </row>
    <row r="64" spans="3:3" x14ac:dyDescent="0.25">
      <c r="C64"/>
    </row>
    <row r="65" spans="3:3" x14ac:dyDescent="0.25">
      <c r="C65"/>
    </row>
    <row r="66" spans="3:3" x14ac:dyDescent="0.25">
      <c r="C66"/>
    </row>
    <row r="67" spans="3:3" x14ac:dyDescent="0.25">
      <c r="C67"/>
    </row>
    <row r="68" spans="3:3" x14ac:dyDescent="0.25">
      <c r="C68"/>
    </row>
    <row r="69" spans="3:3" x14ac:dyDescent="0.25">
      <c r="C69"/>
    </row>
    <row r="70" spans="3:3" x14ac:dyDescent="0.25">
      <c r="C70"/>
    </row>
    <row r="71" spans="3:3" x14ac:dyDescent="0.25">
      <c r="C71"/>
    </row>
    <row r="72" spans="3:3" x14ac:dyDescent="0.25">
      <c r="C72"/>
    </row>
    <row r="73" spans="3:3" x14ac:dyDescent="0.25">
      <c r="C73"/>
    </row>
    <row r="74" spans="3:3" x14ac:dyDescent="0.25">
      <c r="C74"/>
    </row>
    <row r="75" spans="3:3" x14ac:dyDescent="0.25">
      <c r="C75"/>
    </row>
    <row r="76" spans="3:3" x14ac:dyDescent="0.25">
      <c r="C76"/>
    </row>
    <row r="77" spans="3:3" x14ac:dyDescent="0.25">
      <c r="C77"/>
    </row>
    <row r="78" spans="3:3" x14ac:dyDescent="0.25">
      <c r="C78"/>
    </row>
    <row r="79" spans="3:3" x14ac:dyDescent="0.25">
      <c r="C79"/>
    </row>
    <row r="80" spans="3:3" x14ac:dyDescent="0.25">
      <c r="C80"/>
    </row>
    <row r="81" spans="3:3" x14ac:dyDescent="0.25">
      <c r="C81"/>
    </row>
    <row r="82" spans="3:3" x14ac:dyDescent="0.25">
      <c r="C82"/>
    </row>
    <row r="83" spans="3:3" x14ac:dyDescent="0.25">
      <c r="C83"/>
    </row>
    <row r="84" spans="3:3" x14ac:dyDescent="0.25">
      <c r="C84"/>
    </row>
    <row r="85" spans="3:3" x14ac:dyDescent="0.25">
      <c r="C85"/>
    </row>
    <row r="86" spans="3:3" x14ac:dyDescent="0.25">
      <c r="C86"/>
    </row>
    <row r="87" spans="3:3" x14ac:dyDescent="0.25">
      <c r="C87"/>
    </row>
    <row r="88" spans="3:3" x14ac:dyDescent="0.25">
      <c r="C88"/>
    </row>
    <row r="89" spans="3:3" x14ac:dyDescent="0.25">
      <c r="C89"/>
    </row>
    <row r="90" spans="3:3" x14ac:dyDescent="0.25">
      <c r="C90"/>
    </row>
    <row r="91" spans="3:3" x14ac:dyDescent="0.25">
      <c r="C91"/>
    </row>
    <row r="92" spans="3:3" x14ac:dyDescent="0.25">
      <c r="C92"/>
    </row>
    <row r="93" spans="3:3" x14ac:dyDescent="0.25">
      <c r="C93"/>
    </row>
    <row r="94" spans="3:3" x14ac:dyDescent="0.25">
      <c r="C94"/>
    </row>
    <row r="95" spans="3:3" x14ac:dyDescent="0.25">
      <c r="C95"/>
    </row>
    <row r="96" spans="3:3" x14ac:dyDescent="0.25">
      <c r="C96"/>
    </row>
    <row r="97" spans="3:3" x14ac:dyDescent="0.25">
      <c r="C97"/>
    </row>
    <row r="98" spans="3:3" x14ac:dyDescent="0.25">
      <c r="C98"/>
    </row>
    <row r="99" spans="3:3" x14ac:dyDescent="0.25">
      <c r="C99"/>
    </row>
    <row r="100" spans="3:3" x14ac:dyDescent="0.25">
      <c r="C100"/>
    </row>
    <row r="101" spans="3:3" x14ac:dyDescent="0.25">
      <c r="C101"/>
    </row>
    <row r="102" spans="3:3" x14ac:dyDescent="0.25">
      <c r="C102"/>
    </row>
    <row r="103" spans="3:3" x14ac:dyDescent="0.25">
      <c r="C103"/>
    </row>
    <row r="104" spans="3:3" x14ac:dyDescent="0.25">
      <c r="C104"/>
    </row>
    <row r="105" spans="3:3" x14ac:dyDescent="0.25">
      <c r="C105"/>
    </row>
    <row r="106" spans="3:3" x14ac:dyDescent="0.25">
      <c r="C106"/>
    </row>
    <row r="107" spans="3:3" x14ac:dyDescent="0.25">
      <c r="C107"/>
    </row>
    <row r="108" spans="3:3" x14ac:dyDescent="0.25">
      <c r="C108"/>
    </row>
    <row r="109" spans="3:3" x14ac:dyDescent="0.25">
      <c r="C109"/>
    </row>
    <row r="110" spans="3:3" x14ac:dyDescent="0.25">
      <c r="C110"/>
    </row>
    <row r="212" hidden="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EBFAA-B478-4DFC-8137-74D764917909}">
  <dimension ref="A2:I111"/>
  <sheetViews>
    <sheetView workbookViewId="0">
      <selection activeCell="I13" sqref="I13"/>
    </sheetView>
  </sheetViews>
  <sheetFormatPr defaultRowHeight="15" x14ac:dyDescent="0.25"/>
  <cols>
    <col min="1" max="1" width="19.140625" bestFit="1" customWidth="1"/>
    <col min="2" max="5" width="19" style="9" bestFit="1" customWidth="1"/>
    <col min="6" max="7" width="14.140625" style="9" hidden="1" customWidth="1"/>
    <col min="8" max="9" width="25.28515625" bestFit="1" customWidth="1"/>
    <col min="10" max="10" width="30.42578125" bestFit="1" customWidth="1"/>
    <col min="11" max="11" width="23.140625" bestFit="1" customWidth="1"/>
  </cols>
  <sheetData>
    <row r="2" spans="1:7" x14ac:dyDescent="0.25">
      <c r="A2" s="7" t="s">
        <v>1</v>
      </c>
      <c r="B2" s="9" t="s">
        <v>139</v>
      </c>
    </row>
    <row r="4" spans="1:7" x14ac:dyDescent="0.25">
      <c r="A4" s="7" t="s">
        <v>130</v>
      </c>
      <c r="B4" s="11" t="s">
        <v>3</v>
      </c>
      <c r="G4"/>
    </row>
    <row r="5" spans="1:7" x14ac:dyDescent="0.25">
      <c r="A5" s="7" t="s">
        <v>2</v>
      </c>
      <c r="B5" s="9" t="s">
        <v>9</v>
      </c>
      <c r="C5" s="9" t="s">
        <v>36</v>
      </c>
      <c r="D5" s="9" t="s">
        <v>127</v>
      </c>
      <c r="E5" s="9" t="s">
        <v>16</v>
      </c>
      <c r="F5" t="s">
        <v>131</v>
      </c>
      <c r="G5"/>
    </row>
    <row r="6" spans="1:7" x14ac:dyDescent="0.25">
      <c r="A6" t="s">
        <v>8</v>
      </c>
      <c r="B6" s="9">
        <v>23064.089999999997</v>
      </c>
      <c r="C6" s="9">
        <v>9065.32</v>
      </c>
      <c r="D6" s="9">
        <v>15693.36</v>
      </c>
      <c r="E6" s="9">
        <v>9561.69</v>
      </c>
      <c r="F6" s="4">
        <v>57384.46</v>
      </c>
      <c r="G6"/>
    </row>
    <row r="7" spans="1:7" x14ac:dyDescent="0.25">
      <c r="A7" t="s">
        <v>15</v>
      </c>
      <c r="B7" s="9">
        <v>24959.300000000003</v>
      </c>
      <c r="C7" s="9">
        <v>26831.52</v>
      </c>
      <c r="D7" s="9">
        <v>16720.61</v>
      </c>
      <c r="E7" s="9">
        <v>7850.0999999999995</v>
      </c>
      <c r="F7" s="4">
        <v>76361.530000000013</v>
      </c>
      <c r="G7"/>
    </row>
    <row r="8" spans="1:7" x14ac:dyDescent="0.25">
      <c r="A8" t="s">
        <v>28</v>
      </c>
      <c r="B8" s="9">
        <v>7244.4</v>
      </c>
      <c r="C8" s="9">
        <v>13359.45</v>
      </c>
      <c r="D8" s="9">
        <v>18778.810000000001</v>
      </c>
      <c r="E8" s="9">
        <v>5202.7299999999996</v>
      </c>
      <c r="F8" s="4">
        <v>44585.39</v>
      </c>
      <c r="G8"/>
    </row>
    <row r="9" spans="1:7" x14ac:dyDescent="0.25">
      <c r="A9" t="s">
        <v>12</v>
      </c>
      <c r="B9" s="9">
        <v>34874.14</v>
      </c>
      <c r="C9" s="9">
        <v>13936.949999999999</v>
      </c>
      <c r="D9" s="9">
        <v>5105.7099999999991</v>
      </c>
      <c r="E9" s="9">
        <v>16868.91</v>
      </c>
      <c r="F9" s="9">
        <v>70785.709999999992</v>
      </c>
      <c r="G9"/>
    </row>
    <row r="10" spans="1:7" hidden="1" x14ac:dyDescent="0.25">
      <c r="A10" t="s">
        <v>131</v>
      </c>
      <c r="B10" s="9">
        <v>90141.93</v>
      </c>
      <c r="C10" s="9">
        <v>63193.239999999991</v>
      </c>
      <c r="D10" s="9">
        <v>56298.49</v>
      </c>
      <c r="E10" s="9">
        <v>39483.43</v>
      </c>
      <c r="F10" s="4">
        <v>249117.09</v>
      </c>
      <c r="G10"/>
    </row>
    <row r="11" spans="1:7" x14ac:dyDescent="0.25">
      <c r="F11"/>
      <c r="G11"/>
    </row>
    <row r="12" spans="1:7" x14ac:dyDescent="0.25">
      <c r="F12"/>
      <c r="G12"/>
    </row>
    <row r="13" spans="1:7" x14ac:dyDescent="0.25">
      <c r="F13"/>
      <c r="G13"/>
    </row>
    <row r="14" spans="1:7" x14ac:dyDescent="0.25">
      <c r="F14"/>
      <c r="G14"/>
    </row>
    <row r="15" spans="1:7" x14ac:dyDescent="0.25">
      <c r="F15"/>
      <c r="G15"/>
    </row>
    <row r="16" spans="1:7" x14ac:dyDescent="0.25">
      <c r="F16"/>
      <c r="G16"/>
    </row>
    <row r="17" spans="2:5" customFormat="1" x14ac:dyDescent="0.25">
      <c r="B17" s="9"/>
      <c r="C17" s="9"/>
      <c r="D17" s="9"/>
      <c r="E17" s="9"/>
    </row>
    <row r="18" spans="2:5" customFormat="1" x14ac:dyDescent="0.25">
      <c r="B18" s="9"/>
      <c r="C18" s="9"/>
      <c r="D18" s="9"/>
      <c r="E18" s="9"/>
    </row>
    <row r="19" spans="2:5" customFormat="1" x14ac:dyDescent="0.25">
      <c r="B19" s="9"/>
      <c r="C19" s="9"/>
      <c r="D19" s="9"/>
      <c r="E19" s="9"/>
    </row>
    <row r="20" spans="2:5" customFormat="1" x14ac:dyDescent="0.25">
      <c r="B20" s="9"/>
      <c r="C20" s="9"/>
      <c r="D20" s="9"/>
      <c r="E20" s="9"/>
    </row>
    <row r="21" spans="2:5" customFormat="1" x14ac:dyDescent="0.25">
      <c r="B21" s="9"/>
      <c r="C21" s="9"/>
      <c r="D21" s="9"/>
      <c r="E21" s="9"/>
    </row>
    <row r="22" spans="2:5" customFormat="1" x14ac:dyDescent="0.25">
      <c r="B22" s="9"/>
      <c r="C22" s="9"/>
      <c r="D22" s="9"/>
      <c r="E22" s="9"/>
    </row>
    <row r="23" spans="2:5" customFormat="1" x14ac:dyDescent="0.25">
      <c r="B23" s="9"/>
      <c r="C23" s="9"/>
      <c r="D23" s="9"/>
      <c r="E23" s="9"/>
    </row>
    <row r="24" spans="2:5" customFormat="1" x14ac:dyDescent="0.25">
      <c r="B24" s="9"/>
      <c r="C24" s="9"/>
      <c r="D24" s="9"/>
      <c r="E24" s="9"/>
    </row>
    <row r="25" spans="2:5" customFormat="1" x14ac:dyDescent="0.25">
      <c r="B25" s="9"/>
      <c r="C25" s="9"/>
      <c r="D25" s="9"/>
      <c r="E25" s="9"/>
    </row>
    <row r="26" spans="2:5" customFormat="1" x14ac:dyDescent="0.25">
      <c r="B26" s="9"/>
      <c r="C26" s="9"/>
      <c r="D26" s="9"/>
      <c r="E26" s="9"/>
    </row>
    <row r="27" spans="2:5" customFormat="1" x14ac:dyDescent="0.25">
      <c r="B27" s="9"/>
      <c r="C27" s="9"/>
      <c r="D27" s="9"/>
      <c r="E27" s="9"/>
    </row>
    <row r="28" spans="2:5" customFormat="1" x14ac:dyDescent="0.25">
      <c r="B28" s="9"/>
      <c r="C28" s="9"/>
      <c r="D28" s="9"/>
      <c r="E28" s="9"/>
    </row>
    <row r="29" spans="2:5" customFormat="1" x14ac:dyDescent="0.25">
      <c r="B29" s="9"/>
      <c r="C29" s="9"/>
      <c r="D29" s="9"/>
      <c r="E29" s="9"/>
    </row>
    <row r="30" spans="2:5" customFormat="1" x14ac:dyDescent="0.25">
      <c r="B30" s="9"/>
      <c r="C30" s="9"/>
      <c r="D30" s="9"/>
      <c r="E30" s="9"/>
    </row>
    <row r="31" spans="2:5" customFormat="1" x14ac:dyDescent="0.25">
      <c r="B31" s="9"/>
      <c r="C31" s="9"/>
      <c r="D31" s="9"/>
      <c r="E31" s="9"/>
    </row>
    <row r="32" spans="2:5" customFormat="1" x14ac:dyDescent="0.25">
      <c r="B32" s="9"/>
      <c r="C32" s="9"/>
      <c r="D32" s="9"/>
      <c r="E32" s="9"/>
    </row>
    <row r="33" spans="6:9" x14ac:dyDescent="0.25">
      <c r="F33"/>
      <c r="G33"/>
      <c r="I33" s="9"/>
    </row>
    <row r="34" spans="6:9" x14ac:dyDescent="0.25">
      <c r="F34"/>
      <c r="G34"/>
    </row>
    <row r="35" spans="6:9" x14ac:dyDescent="0.25">
      <c r="F35"/>
      <c r="G35"/>
    </row>
    <row r="36" spans="6:9" x14ac:dyDescent="0.25">
      <c r="F36"/>
      <c r="G36"/>
    </row>
    <row r="37" spans="6:9" x14ac:dyDescent="0.25">
      <c r="F37"/>
      <c r="G37"/>
    </row>
    <row r="38" spans="6:9" x14ac:dyDescent="0.25">
      <c r="F38"/>
      <c r="G38"/>
    </row>
    <row r="39" spans="6:9" x14ac:dyDescent="0.25">
      <c r="F39"/>
      <c r="G39"/>
    </row>
    <row r="40" spans="6:9" x14ac:dyDescent="0.25">
      <c r="F40"/>
      <c r="G40"/>
    </row>
    <row r="41" spans="6:9" x14ac:dyDescent="0.25">
      <c r="F41"/>
      <c r="G41"/>
    </row>
    <row r="42" spans="6:9" x14ac:dyDescent="0.25">
      <c r="F42"/>
      <c r="G42"/>
    </row>
    <row r="43" spans="6:9" x14ac:dyDescent="0.25">
      <c r="F43"/>
      <c r="G43"/>
    </row>
    <row r="44" spans="6:9" x14ac:dyDescent="0.25">
      <c r="F44"/>
      <c r="G44"/>
    </row>
    <row r="45" spans="6:9" x14ac:dyDescent="0.25">
      <c r="F45"/>
      <c r="G45"/>
    </row>
    <row r="46" spans="6:9" x14ac:dyDescent="0.25">
      <c r="F46"/>
      <c r="G46"/>
    </row>
    <row r="47" spans="6:9" x14ac:dyDescent="0.25">
      <c r="F47"/>
      <c r="G47"/>
    </row>
    <row r="48" spans="6:9" x14ac:dyDescent="0.25">
      <c r="F48"/>
      <c r="G48"/>
    </row>
    <row r="49" spans="2:5" customFormat="1" x14ac:dyDescent="0.25">
      <c r="B49" s="9"/>
      <c r="C49" s="9"/>
      <c r="D49" s="9"/>
      <c r="E49" s="9"/>
    </row>
    <row r="50" spans="2:5" customFormat="1" x14ac:dyDescent="0.25">
      <c r="B50" s="9"/>
      <c r="C50" s="9"/>
      <c r="D50" s="9"/>
      <c r="E50" s="9"/>
    </row>
    <row r="51" spans="2:5" customFormat="1" x14ac:dyDescent="0.25">
      <c r="B51" s="9"/>
      <c r="C51" s="9"/>
      <c r="D51" s="9"/>
      <c r="E51" s="9"/>
    </row>
    <row r="52" spans="2:5" customFormat="1" x14ac:dyDescent="0.25">
      <c r="B52" s="9"/>
      <c r="C52" s="9"/>
      <c r="D52" s="9"/>
      <c r="E52" s="9"/>
    </row>
    <row r="53" spans="2:5" customFormat="1" x14ac:dyDescent="0.25">
      <c r="B53" s="9"/>
      <c r="C53" s="9"/>
      <c r="D53" s="9"/>
      <c r="E53" s="9"/>
    </row>
    <row r="54" spans="2:5" customFormat="1" x14ac:dyDescent="0.25">
      <c r="B54" s="9"/>
      <c r="C54" s="9"/>
      <c r="D54" s="9"/>
      <c r="E54" s="9"/>
    </row>
    <row r="55" spans="2:5" customFormat="1" x14ac:dyDescent="0.25">
      <c r="B55" s="9"/>
      <c r="C55" s="9"/>
      <c r="D55" s="9"/>
      <c r="E55" s="9"/>
    </row>
    <row r="56" spans="2:5" customFormat="1" x14ac:dyDescent="0.25">
      <c r="B56" s="9"/>
      <c r="C56" s="9"/>
      <c r="D56" s="9"/>
      <c r="E56" s="9"/>
    </row>
    <row r="57" spans="2:5" customFormat="1" x14ac:dyDescent="0.25">
      <c r="B57" s="9"/>
      <c r="C57" s="9"/>
      <c r="D57" s="9"/>
      <c r="E57" s="9"/>
    </row>
    <row r="58" spans="2:5" customFormat="1" x14ac:dyDescent="0.25">
      <c r="B58" s="9"/>
      <c r="C58" s="9"/>
      <c r="D58" s="9"/>
      <c r="E58" s="9"/>
    </row>
    <row r="59" spans="2:5" customFormat="1" x14ac:dyDescent="0.25">
      <c r="B59" s="9"/>
      <c r="C59" s="9"/>
      <c r="D59" s="9"/>
      <c r="E59" s="9"/>
    </row>
    <row r="60" spans="2:5" customFormat="1" x14ac:dyDescent="0.25">
      <c r="B60" s="9"/>
      <c r="C60" s="9"/>
      <c r="D60" s="9"/>
      <c r="E60" s="9"/>
    </row>
    <row r="61" spans="2:5" customFormat="1" x14ac:dyDescent="0.25">
      <c r="B61" s="9"/>
      <c r="C61" s="9"/>
      <c r="D61" s="9"/>
      <c r="E61" s="9"/>
    </row>
    <row r="62" spans="2:5" customFormat="1" x14ac:dyDescent="0.25">
      <c r="B62" s="9"/>
      <c r="C62" s="9"/>
      <c r="D62" s="9"/>
      <c r="E62" s="9"/>
    </row>
    <row r="63" spans="2:5" customFormat="1" x14ac:dyDescent="0.25">
      <c r="B63" s="9"/>
      <c r="C63" s="9"/>
      <c r="D63" s="9"/>
      <c r="E63" s="9"/>
    </row>
    <row r="64" spans="2:5" customFormat="1" x14ac:dyDescent="0.25">
      <c r="B64" s="9"/>
      <c r="C64" s="9"/>
      <c r="D64" s="9"/>
      <c r="E64" s="9"/>
    </row>
    <row r="65" spans="2:5" customFormat="1" x14ac:dyDescent="0.25">
      <c r="B65" s="9"/>
      <c r="C65" s="9"/>
      <c r="D65" s="9"/>
      <c r="E65" s="9"/>
    </row>
    <row r="66" spans="2:5" customFormat="1" x14ac:dyDescent="0.25">
      <c r="B66" s="9"/>
      <c r="C66" s="9"/>
      <c r="D66" s="9"/>
      <c r="E66" s="9"/>
    </row>
    <row r="67" spans="2:5" customFormat="1" x14ac:dyDescent="0.25">
      <c r="B67" s="9"/>
      <c r="C67" s="9"/>
      <c r="D67" s="9"/>
      <c r="E67" s="9"/>
    </row>
    <row r="68" spans="2:5" customFormat="1" x14ac:dyDescent="0.25">
      <c r="B68" s="9"/>
      <c r="C68" s="9"/>
      <c r="D68" s="9"/>
      <c r="E68" s="9"/>
    </row>
    <row r="69" spans="2:5" customFormat="1" x14ac:dyDescent="0.25">
      <c r="B69" s="9"/>
      <c r="C69" s="9"/>
      <c r="D69" s="9"/>
      <c r="E69" s="9"/>
    </row>
    <row r="70" spans="2:5" customFormat="1" x14ac:dyDescent="0.25">
      <c r="B70" s="9"/>
      <c r="C70" s="9"/>
      <c r="D70" s="9"/>
      <c r="E70" s="9"/>
    </row>
    <row r="71" spans="2:5" customFormat="1" x14ac:dyDescent="0.25">
      <c r="B71" s="9"/>
      <c r="C71" s="9"/>
      <c r="D71" s="9"/>
      <c r="E71" s="9"/>
    </row>
    <row r="72" spans="2:5" customFormat="1" x14ac:dyDescent="0.25">
      <c r="B72" s="9"/>
      <c r="C72" s="9"/>
      <c r="D72" s="9"/>
      <c r="E72" s="9"/>
    </row>
    <row r="73" spans="2:5" customFormat="1" x14ac:dyDescent="0.25">
      <c r="B73" s="9"/>
      <c r="C73" s="9"/>
      <c r="D73" s="9"/>
      <c r="E73" s="9"/>
    </row>
    <row r="74" spans="2:5" customFormat="1" x14ac:dyDescent="0.25">
      <c r="B74" s="9"/>
      <c r="C74" s="9"/>
      <c r="D74" s="9"/>
      <c r="E74" s="9"/>
    </row>
    <row r="75" spans="2:5" customFormat="1" x14ac:dyDescent="0.25">
      <c r="B75" s="9"/>
      <c r="C75" s="9"/>
      <c r="D75" s="9"/>
      <c r="E75" s="9"/>
    </row>
    <row r="76" spans="2:5" customFormat="1" x14ac:dyDescent="0.25">
      <c r="B76" s="9"/>
      <c r="C76" s="9"/>
      <c r="D76" s="9"/>
      <c r="E76" s="9"/>
    </row>
    <row r="77" spans="2:5" customFormat="1" x14ac:dyDescent="0.25">
      <c r="B77" s="9"/>
      <c r="C77" s="9"/>
      <c r="D77" s="9"/>
      <c r="E77" s="9"/>
    </row>
    <row r="78" spans="2:5" customFormat="1" x14ac:dyDescent="0.25">
      <c r="B78" s="9"/>
      <c r="C78" s="9"/>
      <c r="D78" s="9"/>
      <c r="E78" s="9"/>
    </row>
    <row r="79" spans="2:5" customFormat="1" x14ac:dyDescent="0.25">
      <c r="B79" s="9"/>
      <c r="C79" s="9"/>
      <c r="D79" s="9"/>
      <c r="E79" s="9"/>
    </row>
    <row r="80" spans="2:5" customFormat="1" x14ac:dyDescent="0.25">
      <c r="B80" s="9"/>
      <c r="C80" s="9"/>
      <c r="D80" s="9"/>
      <c r="E80" s="9"/>
    </row>
    <row r="81" spans="2:5" customFormat="1" x14ac:dyDescent="0.25">
      <c r="B81" s="9"/>
      <c r="C81" s="9"/>
      <c r="D81" s="9"/>
      <c r="E81" s="9"/>
    </row>
    <row r="82" spans="2:5" customFormat="1" x14ac:dyDescent="0.25">
      <c r="B82" s="9"/>
      <c r="C82" s="9"/>
      <c r="D82" s="9"/>
      <c r="E82" s="9"/>
    </row>
    <row r="83" spans="2:5" customFormat="1" x14ac:dyDescent="0.25">
      <c r="B83" s="9"/>
      <c r="C83" s="9"/>
      <c r="D83" s="9"/>
      <c r="E83" s="9"/>
    </row>
    <row r="84" spans="2:5" customFormat="1" x14ac:dyDescent="0.25">
      <c r="B84" s="9"/>
      <c r="C84" s="9"/>
      <c r="D84" s="9"/>
      <c r="E84" s="9"/>
    </row>
    <row r="85" spans="2:5" customFormat="1" x14ac:dyDescent="0.25">
      <c r="B85" s="9"/>
      <c r="C85" s="9"/>
      <c r="D85" s="9"/>
      <c r="E85" s="9"/>
    </row>
    <row r="86" spans="2:5" customFormat="1" x14ac:dyDescent="0.25">
      <c r="B86" s="9"/>
      <c r="C86" s="9"/>
      <c r="D86" s="9"/>
      <c r="E86" s="9"/>
    </row>
    <row r="87" spans="2:5" customFormat="1" x14ac:dyDescent="0.25">
      <c r="B87" s="9"/>
      <c r="C87" s="9"/>
      <c r="D87" s="9"/>
      <c r="E87" s="9"/>
    </row>
    <row r="88" spans="2:5" customFormat="1" x14ac:dyDescent="0.25">
      <c r="B88" s="9"/>
      <c r="C88" s="9"/>
      <c r="D88" s="9"/>
      <c r="E88" s="9"/>
    </row>
    <row r="89" spans="2:5" customFormat="1" x14ac:dyDescent="0.25">
      <c r="B89" s="9"/>
      <c r="C89" s="9"/>
      <c r="D89" s="9"/>
      <c r="E89" s="9"/>
    </row>
    <row r="90" spans="2:5" customFormat="1" x14ac:dyDescent="0.25">
      <c r="B90" s="9"/>
      <c r="C90" s="9"/>
      <c r="D90" s="9"/>
      <c r="E90" s="9"/>
    </row>
    <row r="91" spans="2:5" customFormat="1" x14ac:dyDescent="0.25">
      <c r="B91" s="9"/>
      <c r="C91" s="9"/>
      <c r="D91" s="9"/>
      <c r="E91" s="9"/>
    </row>
    <row r="92" spans="2:5" customFormat="1" x14ac:dyDescent="0.25">
      <c r="B92" s="9"/>
      <c r="C92" s="9"/>
      <c r="D92" s="9"/>
      <c r="E92" s="9"/>
    </row>
    <row r="93" spans="2:5" customFormat="1" x14ac:dyDescent="0.25">
      <c r="B93" s="9"/>
      <c r="C93" s="9"/>
      <c r="D93" s="9"/>
      <c r="E93" s="9"/>
    </row>
    <row r="94" spans="2:5" customFormat="1" x14ac:dyDescent="0.25">
      <c r="B94" s="9"/>
      <c r="C94" s="9"/>
      <c r="D94" s="9"/>
      <c r="E94" s="9"/>
    </row>
    <row r="95" spans="2:5" customFormat="1" x14ac:dyDescent="0.25">
      <c r="B95" s="9"/>
      <c r="C95" s="9"/>
      <c r="D95" s="9"/>
      <c r="E95" s="9"/>
    </row>
    <row r="96" spans="2:5" customFormat="1" x14ac:dyDescent="0.25">
      <c r="B96" s="9"/>
      <c r="C96" s="9"/>
      <c r="D96" s="9"/>
      <c r="E96" s="9"/>
    </row>
    <row r="97" spans="2:5" customFormat="1" x14ac:dyDescent="0.25">
      <c r="B97" s="9"/>
      <c r="C97" s="9"/>
      <c r="D97" s="9"/>
      <c r="E97" s="9"/>
    </row>
    <row r="98" spans="2:5" customFormat="1" x14ac:dyDescent="0.25">
      <c r="B98" s="9"/>
      <c r="C98" s="9"/>
      <c r="D98" s="9"/>
      <c r="E98" s="9"/>
    </row>
    <row r="99" spans="2:5" customFormat="1" x14ac:dyDescent="0.25">
      <c r="B99" s="9"/>
      <c r="C99" s="9"/>
      <c r="D99" s="9"/>
      <c r="E99" s="9"/>
    </row>
    <row r="100" spans="2:5" customFormat="1" x14ac:dyDescent="0.25">
      <c r="B100" s="9"/>
      <c r="C100" s="9"/>
      <c r="D100" s="9"/>
      <c r="E100" s="9"/>
    </row>
    <row r="101" spans="2:5" customFormat="1" x14ac:dyDescent="0.25">
      <c r="B101" s="9"/>
      <c r="C101" s="9"/>
      <c r="D101" s="9"/>
      <c r="E101" s="9"/>
    </row>
    <row r="102" spans="2:5" customFormat="1" x14ac:dyDescent="0.25">
      <c r="B102" s="9"/>
      <c r="C102" s="9"/>
      <c r="D102" s="9"/>
      <c r="E102" s="9"/>
    </row>
    <row r="103" spans="2:5" customFormat="1" x14ac:dyDescent="0.25">
      <c r="B103" s="9"/>
      <c r="C103" s="9"/>
      <c r="D103" s="9"/>
      <c r="E103" s="9"/>
    </row>
    <row r="104" spans="2:5" customFormat="1" x14ac:dyDescent="0.25">
      <c r="B104" s="9"/>
      <c r="C104" s="9"/>
      <c r="D104" s="9"/>
      <c r="E104" s="9"/>
    </row>
    <row r="105" spans="2:5" customFormat="1" x14ac:dyDescent="0.25">
      <c r="B105" s="9"/>
      <c r="C105" s="9"/>
      <c r="D105" s="9"/>
      <c r="E105" s="9"/>
    </row>
    <row r="106" spans="2:5" customFormat="1" x14ac:dyDescent="0.25">
      <c r="B106" s="9"/>
      <c r="C106" s="9"/>
      <c r="D106" s="9"/>
      <c r="E106" s="9"/>
    </row>
    <row r="107" spans="2:5" customFormat="1" x14ac:dyDescent="0.25">
      <c r="B107" s="9"/>
      <c r="C107" s="9"/>
      <c r="D107" s="9"/>
      <c r="E107" s="9"/>
    </row>
    <row r="108" spans="2:5" customFormat="1" x14ac:dyDescent="0.25">
      <c r="B108" s="9"/>
      <c r="C108" s="9"/>
      <c r="D108" s="9"/>
      <c r="E108" s="9"/>
    </row>
    <row r="109" spans="2:5" customFormat="1" x14ac:dyDescent="0.25">
      <c r="B109" s="9"/>
      <c r="C109" s="9"/>
      <c r="D109" s="9"/>
      <c r="E109" s="9"/>
    </row>
    <row r="110" spans="2:5" customFormat="1" x14ac:dyDescent="0.25">
      <c r="B110" s="9"/>
      <c r="C110" s="9"/>
      <c r="D110" s="9"/>
      <c r="E110" s="9"/>
    </row>
    <row r="111" spans="2:5" customFormat="1" x14ac:dyDescent="0.25">
      <c r="B111" s="9"/>
      <c r="C111" s="9"/>
      <c r="D111" s="9"/>
      <c r="E111" s="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1DBF-5D01-4C5E-987A-3934A26A9E54}">
  <dimension ref="A1:P10"/>
  <sheetViews>
    <sheetView workbookViewId="0">
      <selection activeCell="B1" sqref="B1"/>
    </sheetView>
  </sheetViews>
  <sheetFormatPr defaultRowHeight="15" x14ac:dyDescent="0.25"/>
  <cols>
    <col min="1" max="1" width="22" bestFit="1" customWidth="1"/>
    <col min="2" max="5" width="19" style="9" bestFit="1" customWidth="1"/>
    <col min="6" max="6" width="14.140625" hidden="1" customWidth="1"/>
    <col min="7" max="7" width="16.140625" bestFit="1" customWidth="1"/>
    <col min="8" max="9" width="18.28515625" bestFit="1" customWidth="1"/>
    <col min="10" max="10" width="21.5703125" bestFit="1" customWidth="1"/>
    <col min="11" max="12" width="13.7109375" bestFit="1" customWidth="1"/>
    <col min="13" max="13" width="13.140625" bestFit="1" customWidth="1"/>
    <col min="14" max="15" width="14.140625" bestFit="1" customWidth="1"/>
    <col min="16" max="16" width="14.140625" hidden="1" customWidth="1"/>
    <col min="17" max="17" width="14.140625" bestFit="1" customWidth="1"/>
  </cols>
  <sheetData>
    <row r="1" spans="1:7" x14ac:dyDescent="0.25">
      <c r="A1" s="7" t="s">
        <v>2</v>
      </c>
      <c r="B1" s="9" t="s">
        <v>139</v>
      </c>
    </row>
    <row r="3" spans="1:7" x14ac:dyDescent="0.25">
      <c r="A3" s="7" t="s">
        <v>141</v>
      </c>
      <c r="B3" s="11" t="s">
        <v>3</v>
      </c>
      <c r="F3" s="9"/>
    </row>
    <row r="4" spans="1:7" x14ac:dyDescent="0.25">
      <c r="A4" s="7" t="s">
        <v>137</v>
      </c>
      <c r="B4" s="9" t="s">
        <v>9</v>
      </c>
      <c r="C4" s="9" t="s">
        <v>36</v>
      </c>
      <c r="D4" t="s">
        <v>127</v>
      </c>
      <c r="E4" t="s">
        <v>16</v>
      </c>
      <c r="F4" t="s">
        <v>131</v>
      </c>
      <c r="G4" s="9"/>
    </row>
    <row r="5" spans="1:7" x14ac:dyDescent="0.25">
      <c r="A5" t="s">
        <v>132</v>
      </c>
      <c r="B5" s="9">
        <v>34893.94</v>
      </c>
      <c r="C5" s="9">
        <v>10035.799999999999</v>
      </c>
      <c r="D5" s="9">
        <v>23422.600000000002</v>
      </c>
      <c r="E5" s="9">
        <v>12282.009999999998</v>
      </c>
      <c r="F5" s="4">
        <v>80634.350000000006</v>
      </c>
    </row>
    <row r="6" spans="1:7" x14ac:dyDescent="0.25">
      <c r="A6" t="s">
        <v>133</v>
      </c>
      <c r="B6" s="9">
        <v>32240.399999999998</v>
      </c>
      <c r="C6" s="9">
        <v>7996.0099999999993</v>
      </c>
      <c r="D6" s="9">
        <v>9250.5400000000009</v>
      </c>
      <c r="E6" s="9">
        <v>13431.119999999999</v>
      </c>
      <c r="F6" s="4">
        <v>62918.069999999992</v>
      </c>
    </row>
    <row r="7" spans="1:7" x14ac:dyDescent="0.25">
      <c r="A7" t="s">
        <v>134</v>
      </c>
      <c r="B7" s="9">
        <v>21200.05</v>
      </c>
      <c r="C7" s="9">
        <v>37506.97</v>
      </c>
      <c r="D7" s="9">
        <v>14743.879999999997</v>
      </c>
      <c r="E7" s="9">
        <v>11366.16</v>
      </c>
      <c r="F7" s="4">
        <v>84817.06</v>
      </c>
    </row>
    <row r="8" spans="1:7" x14ac:dyDescent="0.25">
      <c r="A8" t="s">
        <v>135</v>
      </c>
      <c r="B8" s="9">
        <v>1807.54</v>
      </c>
      <c r="C8" s="9">
        <v>7654.46</v>
      </c>
      <c r="D8" s="9">
        <v>8881.4699999999993</v>
      </c>
      <c r="E8" s="9">
        <v>2404.1400000000003</v>
      </c>
      <c r="F8" s="4">
        <v>20747.61</v>
      </c>
    </row>
    <row r="9" spans="1:7" hidden="1" x14ac:dyDescent="0.25">
      <c r="A9" t="s">
        <v>131</v>
      </c>
      <c r="B9" s="9">
        <v>90141.93</v>
      </c>
      <c r="C9" s="9">
        <v>63193.24</v>
      </c>
      <c r="D9" s="9">
        <v>56298.490000000005</v>
      </c>
      <c r="E9" s="9">
        <v>39483.429999999993</v>
      </c>
      <c r="F9" s="4">
        <v>249117.08999999997</v>
      </c>
    </row>
    <row r="10" spans="1:7" hidden="1" x14ac:dyDescent="0.25"/>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399D-B524-40FF-9849-0C8818ADCCE3}">
  <dimension ref="A1:B9"/>
  <sheetViews>
    <sheetView workbookViewId="0">
      <selection activeCell="A2" sqref="A2"/>
    </sheetView>
  </sheetViews>
  <sheetFormatPr defaultRowHeight="15" x14ac:dyDescent="0.25"/>
  <cols>
    <col min="1" max="1" width="22.140625" customWidth="1"/>
    <col min="2" max="2" width="19" customWidth="1"/>
  </cols>
  <sheetData>
    <row r="1" spans="1:2" x14ac:dyDescent="0.25">
      <c r="A1" s="3" t="s">
        <v>125</v>
      </c>
      <c r="B1" s="3" t="s">
        <v>126</v>
      </c>
    </row>
    <row r="2" spans="1:2" x14ac:dyDescent="0.25">
      <c r="A2" t="s">
        <v>13</v>
      </c>
      <c r="B2" t="s">
        <v>36</v>
      </c>
    </row>
    <row r="3" spans="1:2" x14ac:dyDescent="0.25">
      <c r="A3" t="s">
        <v>44</v>
      </c>
      <c r="B3" t="s">
        <v>36</v>
      </c>
    </row>
    <row r="4" spans="1:2" x14ac:dyDescent="0.25">
      <c r="A4" t="s">
        <v>19</v>
      </c>
      <c r="B4" t="s">
        <v>127</v>
      </c>
    </row>
    <row r="5" spans="1:2" x14ac:dyDescent="0.25">
      <c r="A5" t="s">
        <v>24</v>
      </c>
      <c r="B5" t="s">
        <v>127</v>
      </c>
    </row>
    <row r="6" spans="1:2" x14ac:dyDescent="0.25">
      <c r="A6" t="s">
        <v>10</v>
      </c>
      <c r="B6" t="s">
        <v>16</v>
      </c>
    </row>
    <row r="7" spans="1:2" x14ac:dyDescent="0.25">
      <c r="A7" t="s">
        <v>21</v>
      </c>
      <c r="B7" t="s">
        <v>16</v>
      </c>
    </row>
    <row r="8" spans="1:2" x14ac:dyDescent="0.25">
      <c r="A8" t="s">
        <v>17</v>
      </c>
      <c r="B8" t="s">
        <v>9</v>
      </c>
    </row>
    <row r="9" spans="1:2" x14ac:dyDescent="0.25">
      <c r="A9" t="s">
        <v>32</v>
      </c>
      <c r="B9" t="s">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323AED-2A3B-4E5D-A4DD-E928BE8E32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BRD</vt:lpstr>
      <vt:lpstr>Dashboard</vt:lpstr>
      <vt:lpstr>Sales_Data</vt:lpstr>
      <vt:lpstr>Pivot_Table_1</vt:lpstr>
      <vt:lpstr>Pivot_Table_2</vt:lpstr>
      <vt:lpstr>Pivot_Table_3</vt:lpstr>
      <vt:lpstr>Lookup_Table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joram mukuha</dc:creator>
  <cp:lastModifiedBy>Kevin Cheruiyot</cp:lastModifiedBy>
  <dcterms:created xsi:type="dcterms:W3CDTF">2026-06-02T11:56:34Z</dcterms:created>
  <dcterms:modified xsi:type="dcterms:W3CDTF">2026-06-10T07:55:43Z</dcterms:modified>
</cp:coreProperties>
</file>